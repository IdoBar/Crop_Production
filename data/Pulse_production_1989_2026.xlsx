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iffitheduau-my.sharepoint.com/personal/i_bar_griffith_edu_au/Documents/Research/Crop_production/data/"/>
    </mc:Choice>
  </mc:AlternateContent>
  <xr:revisionPtr revIDLastSave="16" documentId="8_{A23E41AB-EEB4-49CE-B0EC-C6821F68CAD1}" xr6:coauthVersionLast="47" xr6:coauthVersionMax="47" xr10:uidLastSave="{5F36CFE0-0226-4DAC-BA88-808F4F135D27}"/>
  <bookViews>
    <workbookView xWindow="-108" yWindow="-108" windowWidth="23256" windowHeight="12456" firstSheet="2" activeTab="6" xr2:uid="{AF1EB0A9-8152-4A6D-A7DF-04592E58EBBE}"/>
  </bookViews>
  <sheets>
    <sheet name="Chickpea_prod_recent" sheetId="10" r:id="rId1"/>
    <sheet name="Chickpeas" sheetId="13" r:id="rId2"/>
    <sheet name="Faba_prod_recent" sheetId="15" r:id="rId3"/>
    <sheet name="Lentil_prod_recent" sheetId="14" r:id="rId4"/>
    <sheet name="Lentil_prices_yr" sheetId="9" r:id="rId5"/>
    <sheet name="Chickpea_prices_yr" sheetId="8" r:id="rId6"/>
    <sheet name="Faba_prices_yr" sheetId="1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2" l="1"/>
  <c r="F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tc={89DBEA2F-32E8-414F-B9AC-E1C2AF55200A}</author>
  </authors>
  <commentList>
    <comment ref="B1" authorId="0" shapeId="0" xr:uid="{89DBEA2F-32E8-414F-B9AC-E1C2AF55200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Estimates by Copilot, based on Faba price≈0.85×Lentil price
 </t>
      </text>
    </comment>
  </commentList>
</comments>
</file>

<file path=xl/sharedStrings.xml><?xml version="1.0" encoding="utf-8"?>
<sst xmlns="http://schemas.openxmlformats.org/spreadsheetml/2006/main" count="372" uniqueCount="52">
  <si>
    <t>State</t>
  </si>
  <si>
    <t>Measure</t>
  </si>
  <si>
    <t>2007–08</t>
  </si>
  <si>
    <t>2008–09</t>
  </si>
  <si>
    <t>2009–10</t>
  </si>
  <si>
    <t>2010–11</t>
  </si>
  <si>
    <t>2013–14</t>
  </si>
  <si>
    <t>2014–15</t>
  </si>
  <si>
    <t>New South Wales</t>
  </si>
  <si>
    <t>Area</t>
  </si>
  <si>
    <t>Production</t>
  </si>
  <si>
    <t>Queensland</t>
  </si>
  <si>
    <t>Victoria</t>
  </si>
  <si>
    <t>South Australia</t>
  </si>
  <si>
    <t>Western Australia</t>
  </si>
  <si>
    <t>2003–04</t>
  </si>
  <si>
    <t>2004–05</t>
  </si>
  <si>
    <t>2005–06</t>
  </si>
  <si>
    <t>2006–07</t>
  </si>
  <si>
    <t>Price</t>
  </si>
  <si>
    <t>2019–20</t>
  </si>
  <si>
    <t>2017–18</t>
  </si>
  <si>
    <t>2018–19</t>
  </si>
  <si>
    <t>1989–90</t>
  </si>
  <si>
    <t>1990–91</t>
  </si>
  <si>
    <t>1991–92</t>
  </si>
  <si>
    <t>1992–93</t>
  </si>
  <si>
    <t>1993–94</t>
  </si>
  <si>
    <t>1994–95</t>
  </si>
  <si>
    <t>1995–96</t>
  </si>
  <si>
    <t>1996–97</t>
  </si>
  <si>
    <t>1997–98</t>
  </si>
  <si>
    <t>1998–99</t>
  </si>
  <si>
    <t>1999–00</t>
  </si>
  <si>
    <t>2000–01</t>
  </si>
  <si>
    <t>2001–02</t>
  </si>
  <si>
    <t>2002–03</t>
  </si>
  <si>
    <t>2011–12</t>
  </si>
  <si>
    <t>2012–13</t>
  </si>
  <si>
    <t>2015–16</t>
  </si>
  <si>
    <t>2016–17</t>
  </si>
  <si>
    <t>2020–21</t>
  </si>
  <si>
    <t>Period</t>
  </si>
  <si>
    <t>2021–22</t>
  </si>
  <si>
    <t>2022–23 s</t>
  </si>
  <si>
    <t>2023–24 s</t>
  </si>
  <si>
    <t xml:space="preserve">2021–22 </t>
  </si>
  <si>
    <t>2024–25 s</t>
  </si>
  <si>
    <t>Export</t>
  </si>
  <si>
    <t>Value</t>
  </si>
  <si>
    <t>2026–27 f</t>
  </si>
  <si>
    <t>2025–26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</si>
</sst>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$-C09]#,##0.00;[Red]&quot;-&quot;[$$-C09]#,##0.00"/>
    <numFmt numFmtId="165" formatCode="#,##0.0"/>
  </numFmts>
  <fonts count="34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Geneva"/>
    </font>
    <font>
      <sz val="10"/>
      <name val="Geneva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sz val="8"/>
      <name val="Arial"/>
      <family val="2"/>
    </font>
    <font>
      <u/>
      <sz val="10"/>
      <color indexed="12"/>
      <name val="Arial"/>
      <family val="2"/>
    </font>
    <font>
      <sz val="12"/>
      <name val="Arial"/>
      <family val="2"/>
    </font>
    <font>
      <b/>
      <i/>
      <sz val="16"/>
      <color theme="1"/>
      <name val="Arial"/>
      <family val="2"/>
    </font>
    <font>
      <b/>
      <i/>
      <sz val="16"/>
      <color rgb="FF000000"/>
      <name val="Arial"/>
      <family val="2"/>
    </font>
    <font>
      <u/>
      <sz val="10"/>
      <color theme="10"/>
      <name val="Arial"/>
      <family val="2"/>
    </font>
    <font>
      <sz val="11"/>
      <color rgb="FF9C6500"/>
      <name val="Calibri"/>
      <family val="2"/>
      <scheme val="minor"/>
    </font>
    <font>
      <b/>
      <i/>
      <u/>
      <sz val="11"/>
      <color theme="1"/>
      <name val="Arial"/>
      <family val="2"/>
    </font>
    <font>
      <b/>
      <i/>
      <u/>
      <sz val="10"/>
      <color rgb="FF000000"/>
      <name val="Arial"/>
      <family val="2"/>
    </font>
    <font>
      <b/>
      <sz val="18"/>
      <color theme="3"/>
      <name val="Calibri Light"/>
      <family val="2"/>
      <scheme val="major"/>
    </font>
    <font>
      <sz val="8"/>
      <color theme="1"/>
      <name val="Arial"/>
      <family val="2"/>
    </font>
    <font>
      <sz val="8"/>
      <name val="Calibri"/>
      <family val="2"/>
      <scheme val="minor"/>
    </font>
    <font>
      <sz val="8"/>
      <color rgb="FF000000"/>
      <name val="Calibri"/>
      <family val="2"/>
    </font>
    <font>
      <b/>
      <sz val="11"/>
      <color theme="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rgb="FF000000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96">
    <xf numFmtId="0" fontId="0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3" fillId="0" borderId="0"/>
    <xf numFmtId="9" fontId="1" fillId="0" borderId="0" applyFon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4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18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18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18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18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18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19" fillId="0" borderId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43" fontId="1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3" fillId="0" borderId="0">
      <alignment horizontal="center"/>
    </xf>
    <xf numFmtId="0" fontId="24" fillId="0" borderId="0" applyNumberFormat="0" applyFill="0" applyBorder="0" applyProtection="0">
      <alignment horizontal="center"/>
    </xf>
    <xf numFmtId="0" fontId="23" fillId="0" borderId="0">
      <alignment horizontal="center"/>
    </xf>
    <xf numFmtId="0" fontId="24" fillId="0" borderId="0" applyNumberFormat="0" applyFill="0" applyBorder="0" applyProtection="0">
      <alignment horizontal="center"/>
    </xf>
    <xf numFmtId="0" fontId="23" fillId="0" borderId="0">
      <alignment horizontal="center" textRotation="90"/>
    </xf>
    <xf numFmtId="0" fontId="24" fillId="0" borderId="0" applyNumberFormat="0" applyFill="0" applyBorder="0" applyProtection="0">
      <alignment horizontal="center" textRotation="90"/>
    </xf>
    <xf numFmtId="0" fontId="23" fillId="0" borderId="0">
      <alignment horizontal="center" textRotation="90"/>
    </xf>
    <xf numFmtId="0" fontId="24" fillId="0" borderId="0" applyNumberFormat="0" applyFill="0" applyBorder="0" applyProtection="0">
      <alignment horizontal="center" textRotation="90"/>
    </xf>
    <xf numFmtId="0" fontId="25" fillId="0" borderId="0" applyNumberForma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26" fillId="4" borderId="0" applyNumberFormat="0" applyBorder="0" applyAlignment="0" applyProtection="0"/>
    <xf numFmtId="0" fontId="4" fillId="0" borderId="0"/>
    <xf numFmtId="0" fontId="1" fillId="0" borderId="0"/>
    <xf numFmtId="0" fontId="4" fillId="0" borderId="0"/>
    <xf numFmtId="0" fontId="4" fillId="0" borderId="0"/>
    <xf numFmtId="0" fontId="19" fillId="0" borderId="0"/>
    <xf numFmtId="0" fontId="19" fillId="0" borderId="0"/>
    <xf numFmtId="0" fontId="4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4" fillId="0" borderId="0"/>
    <xf numFmtId="0" fontId="4" fillId="0" borderId="0"/>
    <xf numFmtId="0" fontId="22" fillId="0" borderId="0"/>
    <xf numFmtId="0" fontId="4" fillId="0" borderId="0"/>
    <xf numFmtId="0" fontId="4" fillId="0" borderId="0"/>
    <xf numFmtId="0" fontId="4" fillId="0" borderId="0"/>
    <xf numFmtId="0" fontId="19" fillId="0" borderId="0"/>
    <xf numFmtId="0" fontId="4" fillId="0" borderId="0"/>
    <xf numFmtId="0" fontId="4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8" borderId="8" applyNumberFormat="0" applyFont="0" applyAlignment="0" applyProtection="0"/>
    <xf numFmtId="0" fontId="4" fillId="8" borderId="8" applyNumberFormat="0" applyFont="0" applyAlignment="0" applyProtection="0"/>
    <xf numFmtId="0" fontId="4" fillId="8" borderId="8" applyNumberFormat="0" applyFont="0" applyAlignment="0" applyProtection="0"/>
    <xf numFmtId="0" fontId="4" fillId="8" borderId="8" applyNumberFormat="0" applyFont="0" applyAlignment="0" applyProtection="0"/>
    <xf numFmtId="0" fontId="4" fillId="8" borderId="8" applyNumberFormat="0" applyFont="0" applyAlignment="0" applyProtection="0"/>
    <xf numFmtId="0" fontId="4" fillId="8" borderId="8" applyNumberFormat="0" applyFont="0" applyAlignment="0" applyProtection="0"/>
    <xf numFmtId="0" fontId="4" fillId="8" borderId="8" applyNumberFormat="0" applyFont="0" applyAlignment="0" applyProtection="0"/>
    <xf numFmtId="0" fontId="4" fillId="8" borderId="8" applyNumberFormat="0" applyFont="0" applyAlignment="0" applyProtection="0"/>
    <xf numFmtId="0" fontId="4" fillId="8" borderId="8" applyNumberFormat="0" applyFont="0" applyAlignment="0" applyProtection="0"/>
    <xf numFmtId="0" fontId="4" fillId="8" borderId="8" applyNumberFormat="0" applyFont="0" applyAlignment="0" applyProtection="0"/>
    <xf numFmtId="0" fontId="4" fillId="8" borderId="8" applyNumberFormat="0" applyFont="0" applyAlignment="0" applyProtection="0"/>
    <xf numFmtId="0" fontId="4" fillId="8" borderId="8" applyNumberFormat="0" applyFont="0" applyAlignment="0" applyProtection="0"/>
    <xf numFmtId="0" fontId="4" fillId="8" borderId="8" applyNumberFormat="0" applyFont="0" applyAlignment="0" applyProtection="0"/>
    <xf numFmtId="0" fontId="4" fillId="8" borderId="8" applyNumberFormat="0" applyFont="0" applyAlignment="0" applyProtection="0"/>
    <xf numFmtId="0" fontId="4" fillId="8" borderId="8" applyNumberFormat="0" applyFont="0" applyAlignment="0" applyProtection="0"/>
    <xf numFmtId="0" fontId="4" fillId="8" borderId="8" applyNumberFormat="0" applyFont="0" applyAlignment="0" applyProtection="0"/>
    <xf numFmtId="0" fontId="27" fillId="0" borderId="0"/>
    <xf numFmtId="0" fontId="28" fillId="0" borderId="0" applyNumberFormat="0" applyFill="0" applyBorder="0" applyAlignment="0" applyProtection="0"/>
    <xf numFmtId="0" fontId="27" fillId="0" borderId="0"/>
    <xf numFmtId="0" fontId="28" fillId="0" borderId="0" applyNumberFormat="0" applyFill="0" applyBorder="0" applyAlignment="0" applyProtection="0"/>
    <xf numFmtId="164" fontId="27" fillId="0" borderId="0"/>
    <xf numFmtId="164" fontId="28" fillId="0" borderId="0" applyFill="0" applyBorder="0" applyAlignment="0" applyProtection="0"/>
    <xf numFmtId="164" fontId="27" fillId="0" borderId="0"/>
    <xf numFmtId="164" fontId="28" fillId="0" borderId="0" applyFill="0" applyBorder="0" applyAlignment="0" applyProtection="0"/>
    <xf numFmtId="0" fontId="29" fillId="0" borderId="0" applyNumberForma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4" fillId="0" borderId="0" applyFont="0" applyFill="0" applyBorder="0" applyAlignment="0" applyProtection="0"/>
  </cellStyleXfs>
  <cellXfs count="10">
    <xf numFmtId="0" fontId="0" fillId="0" borderId="0" xfId="0"/>
    <xf numFmtId="3" fontId="0" fillId="0" borderId="0" xfId="0" applyNumberFormat="1"/>
    <xf numFmtId="3" fontId="30" fillId="0" borderId="0" xfId="143" applyNumberFormat="1" applyFont="1" applyAlignment="1">
      <alignment horizontal="right"/>
    </xf>
    <xf numFmtId="3" fontId="32" fillId="33" borderId="10" xfId="0" applyNumberFormat="1" applyFont="1" applyFill="1" applyBorder="1" applyAlignment="1">
      <alignment horizontal="right" vertical="center" wrapText="1"/>
    </xf>
    <xf numFmtId="3" fontId="32" fillId="33" borderId="0" xfId="0" applyNumberFormat="1" applyFont="1" applyFill="1" applyAlignment="1">
      <alignment vertical="center" wrapText="1"/>
    </xf>
    <xf numFmtId="3" fontId="32" fillId="33" borderId="10" xfId="0" applyNumberFormat="1" applyFont="1" applyFill="1" applyBorder="1" applyAlignment="1">
      <alignment vertical="center" wrapText="1"/>
    </xf>
    <xf numFmtId="3" fontId="32" fillId="33" borderId="0" xfId="195" applyNumberFormat="1" applyFont="1" applyFill="1" applyBorder="1" applyAlignment="1">
      <alignment horizontal="right" vertical="center" wrapText="1"/>
    </xf>
    <xf numFmtId="165" fontId="32" fillId="33" borderId="10" xfId="0" applyNumberFormat="1" applyFont="1" applyFill="1" applyBorder="1" applyAlignment="1">
      <alignment horizontal="right" vertical="center" wrapText="1"/>
    </xf>
    <xf numFmtId="165" fontId="32" fillId="33" borderId="0" xfId="0" applyNumberFormat="1" applyFont="1" applyFill="1" applyAlignment="1">
      <alignment horizontal="right" vertical="center" wrapText="1"/>
    </xf>
    <xf numFmtId="0" fontId="33" fillId="0" borderId="11" xfId="0" applyFont="1" applyBorder="1" applyAlignment="1">
      <alignment horizontal="left" vertical="top"/>
    </xf>
  </cellXfs>
  <cellStyles count="196">
    <cellStyle name="20% - Accent1" xfId="24" builtinId="30" customBuiltin="1"/>
    <cellStyle name="20% - Accent1 2" xfId="42" xr:uid="{679F454B-6179-4630-A136-20EB5F24F57C}"/>
    <cellStyle name="20% - Accent1 2 2" xfId="43" xr:uid="{9F6B7F53-F5F8-46CF-917C-E4166B79A6BC}"/>
    <cellStyle name="20% - Accent1 3" xfId="44" xr:uid="{BEB655B4-E8C6-4371-BA46-66D9EA29F9A5}"/>
    <cellStyle name="20% - Accent1 4" xfId="45" xr:uid="{02D33EB9-6DD8-4B51-8421-EF4D97BB67D2}"/>
    <cellStyle name="20% - Accent1 5" xfId="46" xr:uid="{10F56757-2966-45F0-A59A-7DE242CF4A60}"/>
    <cellStyle name="20% - Accent2" xfId="27" builtinId="34" customBuiltin="1"/>
    <cellStyle name="20% - Accent2 2" xfId="47" xr:uid="{23B9E282-7595-4601-8E4C-98EFBD53A11C}"/>
    <cellStyle name="20% - Accent2 2 2" xfId="48" xr:uid="{E809DFF0-F9A5-459F-B28C-40CAFE673858}"/>
    <cellStyle name="20% - Accent2 3" xfId="49" xr:uid="{BE7807AF-7397-495C-8932-3067040DB5CB}"/>
    <cellStyle name="20% - Accent2 4" xfId="50" xr:uid="{046FEBEE-6113-4D0E-BFA8-6E5E735DD3A7}"/>
    <cellStyle name="20% - Accent2 5" xfId="51" xr:uid="{E0317464-F6AC-4616-AD6C-FFCA653815A3}"/>
    <cellStyle name="20% - Accent3" xfId="30" builtinId="38" customBuiltin="1"/>
    <cellStyle name="20% - Accent3 2" xfId="52" xr:uid="{2D59F4B9-1E23-4089-A19C-D7A57B87C24C}"/>
    <cellStyle name="20% - Accent3 2 2" xfId="53" xr:uid="{D70F11A0-B499-4AAB-9775-5A64C73546DC}"/>
    <cellStyle name="20% - Accent3 3" xfId="54" xr:uid="{67F324D6-466F-448D-A047-73A3D629FB05}"/>
    <cellStyle name="20% - Accent3 4" xfId="55" xr:uid="{CA9F7D09-7297-4DD3-95A2-D1AEF27E0276}"/>
    <cellStyle name="20% - Accent3 5" xfId="56" xr:uid="{749AEA4B-0E1E-40E0-B063-18F440D01582}"/>
    <cellStyle name="20% - Accent4" xfId="33" builtinId="42" customBuiltin="1"/>
    <cellStyle name="20% - Accent4 2" xfId="57" xr:uid="{9B415892-C398-44FF-BCFA-4DBFB4EDC66D}"/>
    <cellStyle name="20% - Accent4 2 2" xfId="58" xr:uid="{5A208715-93AB-4124-8728-C5A45EF3EB4C}"/>
    <cellStyle name="20% - Accent4 3" xfId="59" xr:uid="{0DCFE61C-BB55-4E3B-A0FF-F412EC687060}"/>
    <cellStyle name="20% - Accent4 4" xfId="60" xr:uid="{48435BE8-C5E4-42A9-8F68-904F4E940E4E}"/>
    <cellStyle name="20% - Accent4 5" xfId="61" xr:uid="{9F873493-4A0C-4684-BBB7-5CD126923D69}"/>
    <cellStyle name="20% - Accent5" xfId="36" builtinId="46" customBuiltin="1"/>
    <cellStyle name="20% - Accent5 2" xfId="62" xr:uid="{649EBDA3-7635-4D2B-93A6-D72432DE7E66}"/>
    <cellStyle name="20% - Accent5 2 2" xfId="63" xr:uid="{62C53D05-601F-4543-B77B-086F4AB4A9A1}"/>
    <cellStyle name="20% - Accent5 3" xfId="64" xr:uid="{A1681907-9062-4AA6-BC82-22D03A63F949}"/>
    <cellStyle name="20% - Accent5 4" xfId="65" xr:uid="{7FBA702A-3C79-47D1-B591-C1A9290A1BA9}"/>
    <cellStyle name="20% - Accent5 5" xfId="66" xr:uid="{38AF0AFF-E794-4639-9BCA-D82FFE9BFD6F}"/>
    <cellStyle name="20% - Accent6" xfId="39" builtinId="50" customBuiltin="1"/>
    <cellStyle name="20% - Accent6 2" xfId="67" xr:uid="{192D039C-A141-4FE5-B550-9DF9E846187F}"/>
    <cellStyle name="20% - Accent6 2 2" xfId="68" xr:uid="{650F7FFF-9B4B-45C1-9A35-92E831A23A4F}"/>
    <cellStyle name="20% - Accent6 3" xfId="69" xr:uid="{2B2461CD-6B17-4877-9B57-99B4033B58F0}"/>
    <cellStyle name="20% - Accent6 4" xfId="70" xr:uid="{3C9FAC0C-885F-4F41-BD13-3DCD3F247B97}"/>
    <cellStyle name="20% - Accent6 5" xfId="71" xr:uid="{818C4B99-3517-4C45-BC71-B8E008703F3D}"/>
    <cellStyle name="40% - Accent1" xfId="25" builtinId="31" customBuiltin="1"/>
    <cellStyle name="40% - Accent1 2" xfId="72" xr:uid="{B93D5E27-B85E-4705-A585-206AE8B5A83F}"/>
    <cellStyle name="40% - Accent1 2 2" xfId="73" xr:uid="{C983377B-435F-45C3-A2E1-FFCF68EFAC39}"/>
    <cellStyle name="40% - Accent1 3" xfId="74" xr:uid="{0C4EA44B-D9C3-4323-A8A4-F4EB43E3B00D}"/>
    <cellStyle name="40% - Accent1 4" xfId="75" xr:uid="{626A4650-8011-4731-BEA6-F1B0FD9F77AF}"/>
    <cellStyle name="40% - Accent1 5" xfId="76" xr:uid="{45E3BFFF-BF2F-4DDC-AA66-638A122A7507}"/>
    <cellStyle name="40% - Accent2" xfId="28" builtinId="35" customBuiltin="1"/>
    <cellStyle name="40% - Accent2 2" xfId="77" xr:uid="{6423CD83-8E93-4750-A3C3-4C6AEED78DD1}"/>
    <cellStyle name="40% - Accent2 2 2" xfId="78" xr:uid="{B3BABCAF-32C0-45A6-A682-38F3425F468C}"/>
    <cellStyle name="40% - Accent2 3" xfId="79" xr:uid="{AC4B1DC7-3E90-47B7-A457-FA5F1332C1A3}"/>
    <cellStyle name="40% - Accent2 4" xfId="80" xr:uid="{E6D600DF-3176-4E38-8A78-C3C0D2D65010}"/>
    <cellStyle name="40% - Accent2 5" xfId="81" xr:uid="{D9912639-7331-41B0-9D82-1A3C1CA2A948}"/>
    <cellStyle name="40% - Accent3" xfId="31" builtinId="39" customBuiltin="1"/>
    <cellStyle name="40% - Accent3 2" xfId="82" xr:uid="{EC042AD2-D2CA-47B8-9A61-2B3AC8EBEBE5}"/>
    <cellStyle name="40% - Accent3 2 2" xfId="83" xr:uid="{7D874B7F-4174-46DD-86BC-D8F18C54F731}"/>
    <cellStyle name="40% - Accent3 3" xfId="84" xr:uid="{B9576C9F-4830-4A50-BDD0-C302FF45AC3F}"/>
    <cellStyle name="40% - Accent3 4" xfId="85" xr:uid="{633A21A2-2263-4C9D-B42E-E851E1AA51A8}"/>
    <cellStyle name="40% - Accent3 5" xfId="86" xr:uid="{208233B3-674A-4B2A-816B-2790E0C067AA}"/>
    <cellStyle name="40% - Accent4" xfId="34" builtinId="43" customBuiltin="1"/>
    <cellStyle name="40% - Accent4 2" xfId="87" xr:uid="{AB6799D8-8C74-47B0-8C6D-A88A18F8E57D}"/>
    <cellStyle name="40% - Accent4 2 2" xfId="88" xr:uid="{71E7446B-553E-494A-ABF5-9B2182F44379}"/>
    <cellStyle name="40% - Accent4 3" xfId="89" xr:uid="{966627A2-27FE-45F0-8664-8B4B73355CDA}"/>
    <cellStyle name="40% - Accent4 4" xfId="90" xr:uid="{692E5AB4-89ED-4463-8211-312DF3D9A01D}"/>
    <cellStyle name="40% - Accent4 5" xfId="91" xr:uid="{2E814619-E0AB-4D07-8BFD-8D9E875F59F5}"/>
    <cellStyle name="40% - Accent5" xfId="37" builtinId="47" customBuiltin="1"/>
    <cellStyle name="40% - Accent5 2" xfId="92" xr:uid="{8A44A03C-409D-4344-8D40-F44C73001A42}"/>
    <cellStyle name="40% - Accent5 2 2" xfId="93" xr:uid="{A1EEAA62-5A21-42FB-A217-0B06AAD6F3D5}"/>
    <cellStyle name="40% - Accent5 3" xfId="94" xr:uid="{E3E5AFB9-939E-4BBB-AB73-50C3DF08A590}"/>
    <cellStyle name="40% - Accent5 4" xfId="95" xr:uid="{EC49328C-1F3A-4022-9B07-E3836BC3E74F}"/>
    <cellStyle name="40% - Accent5 5" xfId="96" xr:uid="{BDEC12E2-0CD5-4587-93C9-E83CA1A2A8EF}"/>
    <cellStyle name="40% - Accent6" xfId="40" builtinId="51" customBuiltin="1"/>
    <cellStyle name="40% - Accent6 2" xfId="97" xr:uid="{D76E9C6C-9B6B-44B8-802A-224ED2E7D579}"/>
    <cellStyle name="40% - Accent6 2 2" xfId="98" xr:uid="{4D2272ED-108B-450A-953F-7A0CB3E96BB5}"/>
    <cellStyle name="40% - Accent6 3" xfId="99" xr:uid="{843140D4-9960-4C33-BA7D-132EEF5BE2EB}"/>
    <cellStyle name="40% - Accent6 4" xfId="100" xr:uid="{13580432-44FE-4412-99CF-3B99D877A6D3}"/>
    <cellStyle name="40% - Accent6 5" xfId="101" xr:uid="{4403AE8A-98E6-4693-9A08-0B4A4343D466}"/>
    <cellStyle name="60% - Accent1 2" xfId="102" xr:uid="{A2AE3C7E-D26A-488F-846B-8FA3973EC21D}"/>
    <cellStyle name="60% - Accent2 2" xfId="103" xr:uid="{D0A193DB-442F-4084-A740-9F2367F5BFB1}"/>
    <cellStyle name="60% - Accent3 2" xfId="104" xr:uid="{60D35AB9-4A73-40CB-BC27-9E825D86D74F}"/>
    <cellStyle name="60% - Accent4 2" xfId="105" xr:uid="{362B74D5-38F9-430B-B419-3FB66C4DB141}"/>
    <cellStyle name="60% - Accent5 2" xfId="106" xr:uid="{FA6494FB-7EEE-4977-98C5-E02CFC3A8C3C}"/>
    <cellStyle name="60% - Accent6 2" xfId="107" xr:uid="{A5D22AD7-9A35-42C5-8D81-8DF55E69AE41}"/>
    <cellStyle name="Accent1" xfId="23" builtinId="29" customBuiltin="1"/>
    <cellStyle name="Accent2" xfId="26" builtinId="33" customBuiltin="1"/>
    <cellStyle name="Accent3" xfId="29" builtinId="37" customBuiltin="1"/>
    <cellStyle name="Accent4" xfId="32" builtinId="41" customBuiltin="1"/>
    <cellStyle name="Accent5" xfId="35" builtinId="45" customBuiltin="1"/>
    <cellStyle name="Accent6" xfId="38" builtinId="49" customBuiltin="1"/>
    <cellStyle name="Bad" xfId="13" builtinId="27" customBuiltin="1"/>
    <cellStyle name="Calculation" xfId="16" builtinId="22" customBuiltin="1"/>
    <cellStyle name="Check Cell" xfId="18" builtinId="23" customBuiltin="1"/>
    <cellStyle name="Comma" xfId="195" builtinId="3"/>
    <cellStyle name="Comma 2" xfId="109" xr:uid="{CF0192A1-04EE-43FE-88C3-B4562485A710}"/>
    <cellStyle name="Comma 2 2" xfId="110" xr:uid="{9281A799-4DA2-4E45-8A6F-7409FFA33287}"/>
    <cellStyle name="Comma 2 3" xfId="111" xr:uid="{539CF52B-3520-4779-9598-7F90BDE133D4}"/>
    <cellStyle name="Comma 2 4" xfId="193" xr:uid="{DCA24DCD-1D48-42FF-B27C-FEC09E3D1974}"/>
    <cellStyle name="Comma 3" xfId="112" xr:uid="{DA2F8714-6FBA-48F4-9B5B-CF0D9555B854}"/>
    <cellStyle name="Comma 4" xfId="113" xr:uid="{369135E2-F756-4988-B5D7-9B5C8B1F7A5E}"/>
    <cellStyle name="Comma 4 2" xfId="114" xr:uid="{85289DA7-124F-4D86-AFD5-5E90DADC1CEE}"/>
    <cellStyle name="Comma 4 3" xfId="115" xr:uid="{4D3026D2-6CB9-4FCC-BF0F-E332FF29426F}"/>
    <cellStyle name="Comma 5" xfId="116" xr:uid="{CC029766-E414-4BD8-830B-56699A53D803}"/>
    <cellStyle name="Comma 6" xfId="117" xr:uid="{28CA3E99-09EE-43FD-BE3F-646EBD6FC8A1}"/>
    <cellStyle name="Comma 6 2" xfId="118" xr:uid="{EA18B5EA-65F3-4498-9E93-8CE29FABD58D}"/>
    <cellStyle name="Comma 6 3" xfId="119" xr:uid="{08CCCC75-9864-4579-8576-1B0296669702}"/>
    <cellStyle name="Comma 6 4" xfId="120" xr:uid="{6CAEECA4-BF14-4191-968F-79DFD8B4AFBA}"/>
    <cellStyle name="Comma 7" xfId="121" xr:uid="{18EA4161-47D4-40A7-9CD6-E483C5A542E7}"/>
    <cellStyle name="Comma 8" xfId="122" xr:uid="{CCD8292C-4FFC-4E33-B7A2-D445B1FCE86D}"/>
    <cellStyle name="Comma 9" xfId="108" xr:uid="{9695A1D4-5AC2-4C16-B727-4D511438FED3}"/>
    <cellStyle name="Explanatory Text" xfId="21" builtinId="53" customBuiltin="1"/>
    <cellStyle name="Good" xfId="12" builtinId="26" customBuiltin="1"/>
    <cellStyle name="Heading" xfId="123" xr:uid="{5C0425CA-F9AF-4572-B9AF-978178A7BECA}"/>
    <cellStyle name="Heading 1" xfId="8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Heading 5" xfId="124" xr:uid="{2C260889-880B-4FF4-BA9B-A8648CD761B9}"/>
    <cellStyle name="Heading 6" xfId="125" xr:uid="{E487E8CC-8167-4E1E-B0A3-8D3B975A24CF}"/>
    <cellStyle name="Heading 7" xfId="126" xr:uid="{403A452F-B8DE-476B-B8A3-339129A0D4BA}"/>
    <cellStyle name="Heading1" xfId="127" xr:uid="{149CAFB9-6DB9-4FC5-90B6-97A3DF96DDCC}"/>
    <cellStyle name="Heading1 2" xfId="128" xr:uid="{0B3863AC-B3C2-44F3-8865-FFDA0FBED890}"/>
    <cellStyle name="Heading1 3" xfId="129" xr:uid="{9AC96B90-0786-4655-91A0-47DB8708CADA}"/>
    <cellStyle name="Heading1 4" xfId="130" xr:uid="{D72B259E-1BF7-46FF-841F-753719E099FA}"/>
    <cellStyle name="Hyperlink 2" xfId="131" xr:uid="{80747856-683C-4C93-8D3E-CC09819BDAD6}"/>
    <cellStyle name="Hyperlink 2 2" xfId="132" xr:uid="{AA814F63-4E27-40EF-9A87-B22D8B8D222A}"/>
    <cellStyle name="Hyperlink 3" xfId="133" xr:uid="{5F76B043-EC80-4864-8EFB-0A3C7CD95156}"/>
    <cellStyle name="Hyperlink 4" xfId="134" xr:uid="{3EC7123B-E70F-4DCE-9E56-FCF1D9C0EE65}"/>
    <cellStyle name="Hyperlink 4 2" xfId="135" xr:uid="{2335E8DC-629A-4038-B9EB-311080491A05}"/>
    <cellStyle name="Hyperlink 4 3" xfId="136" xr:uid="{59AA3A16-790B-4D7F-A820-63402AD0FC09}"/>
    <cellStyle name="Hyperlink 5" xfId="137" xr:uid="{FC9C4B16-60FB-451F-A65F-956359145E9F}"/>
    <cellStyle name="Input" xfId="14" builtinId="20" customBuiltin="1"/>
    <cellStyle name="Linked Cell" xfId="17" builtinId="24" customBuiltin="1"/>
    <cellStyle name="Neutral 2" xfId="138" xr:uid="{4EA0D5DD-E812-4FCB-B8EB-F25DC5AA7151}"/>
    <cellStyle name="Normal" xfId="0" builtinId="0"/>
    <cellStyle name="Normal 10" xfId="139" xr:uid="{43649C0D-0328-4FEB-BE29-528C280173C5}"/>
    <cellStyle name="Normal 11" xfId="140" xr:uid="{AF1F72D5-0BE9-4DE9-A6A3-68391B850B4D}"/>
    <cellStyle name="Normal 12" xfId="141" xr:uid="{1E0D9ACB-A01F-4680-AC2C-B59A10CE372D}"/>
    <cellStyle name="Normal 12 2" xfId="142" xr:uid="{404C515E-A162-4DD3-AF6B-6AB8B177A300}"/>
    <cellStyle name="Normal 12 3" xfId="143" xr:uid="{A4A57C95-AFE6-467B-A980-FBE52FC01B1D}"/>
    <cellStyle name="Normal 13" xfId="144" xr:uid="{81B9492F-052D-4417-92F5-A960FAAD4BA4}"/>
    <cellStyle name="Normal 13 2" xfId="145" xr:uid="{03BFC470-8419-4C19-AAD2-53CB6F97C621}"/>
    <cellStyle name="Normal 13 3" xfId="146" xr:uid="{E5877D35-9D2F-4F3F-B521-3E10CFB531DB}"/>
    <cellStyle name="Normal 14" xfId="147" xr:uid="{37FDC3B3-6F32-4B2F-A1FA-8356C74A4361}"/>
    <cellStyle name="Normal 15" xfId="148" xr:uid="{F5DC8098-6269-4740-A4FB-359C1FDADC1E}"/>
    <cellStyle name="Normal 16" xfId="149" xr:uid="{37335F62-D620-44BA-B56F-6D8A10D23F58}"/>
    <cellStyle name="Normal 17" xfId="41" xr:uid="{685904CB-0544-42EC-A6C4-1EF172BE9E86}"/>
    <cellStyle name="Normal 2" xfId="1" xr:uid="{A9BF2723-D54D-45AE-BD5A-827F921E350B}"/>
    <cellStyle name="Normal 2 2" xfId="2" xr:uid="{D7E0E69B-44BB-4D88-9C36-9322C7F479F7}"/>
    <cellStyle name="Normal 2 2 2" xfId="150" xr:uid="{8F7FEF10-70EF-4678-A92A-E380350AF41B}"/>
    <cellStyle name="Normal 2 2 3" xfId="194" xr:uid="{0ADC1844-A091-44C3-B2CF-D7279D553093}"/>
    <cellStyle name="Normal 2 3" xfId="3" xr:uid="{82648B47-714A-437B-BDCF-9FC83CCB1E1F}"/>
    <cellStyle name="Normal 2 3 2" xfId="151" xr:uid="{23EDAB51-E834-4153-B556-5BA832728752}"/>
    <cellStyle name="Normal 2 4" xfId="152" xr:uid="{BCFDD8D2-1F5F-46EB-8CC7-8598CA07F712}"/>
    <cellStyle name="Normal 2 5" xfId="153" xr:uid="{C42AD437-3751-4B5E-B2FB-7DDB2710BEB2}"/>
    <cellStyle name="Normal 2 6" xfId="154" xr:uid="{D3127551-2815-4136-9445-DB3042629F5F}"/>
    <cellStyle name="Normal 3" xfId="4" xr:uid="{1CC6C656-803E-4FC2-BA96-5CD902756BA0}"/>
    <cellStyle name="Normal 3 2" xfId="156" xr:uid="{8105B13F-464A-4875-BED3-7FE43E98F93B}"/>
    <cellStyle name="Normal 3 3" xfId="157" xr:uid="{16CB8482-A160-45D7-B393-E9E8900C2DA0}"/>
    <cellStyle name="Normal 3 4" xfId="158" xr:uid="{F4CC4CA0-D684-4ACC-B1B1-EA68DD026E62}"/>
    <cellStyle name="Normal 3 5" xfId="155" xr:uid="{88D23397-345C-4909-9C1F-2815E667D26A}"/>
    <cellStyle name="Normal 4" xfId="5" xr:uid="{E3E244D7-66C6-45DD-8305-FBA55893DC6D}"/>
    <cellStyle name="Normal 4 2" xfId="159" xr:uid="{585A91B0-B3C9-49EB-939F-5886F9F1781B}"/>
    <cellStyle name="Normal 5" xfId="6" xr:uid="{1E647753-2300-43C9-8C81-487B0440397E}"/>
    <cellStyle name="Normal 5 2" xfId="161" xr:uid="{4E555EA4-32CA-4DC4-B8DF-79C4C318D07C}"/>
    <cellStyle name="Normal 5 3" xfId="162" xr:uid="{EC899A66-08BD-4BD8-A0C8-CF1530934F59}"/>
    <cellStyle name="Normal 5 4" xfId="160" xr:uid="{2363A817-2C37-4882-9977-7735AD7FF18E}"/>
    <cellStyle name="Normal 6" xfId="163" xr:uid="{C1B18685-3BE9-4FAB-85C2-A111CCF818AF}"/>
    <cellStyle name="Normal 6 2" xfId="164" xr:uid="{AE71BD39-BE4D-4303-9C42-5AE5665DB891}"/>
    <cellStyle name="Normal 7" xfId="165" xr:uid="{AC1A080F-247C-4DC8-BF28-36927541D8A8}"/>
    <cellStyle name="Normal 8" xfId="166" xr:uid="{A5604885-2700-4EA4-B3D4-3B428EE9AD05}"/>
    <cellStyle name="Normal 9" xfId="167" xr:uid="{25A29614-D701-493E-B744-57395673CC54}"/>
    <cellStyle name="Note" xfId="20" builtinId="10" customBuiltin="1"/>
    <cellStyle name="Note 10" xfId="168" xr:uid="{4E16744C-79C9-42ED-92FB-91A450E9CB55}"/>
    <cellStyle name="Note 11" xfId="169" xr:uid="{A37930AD-B48A-4AA0-9418-3D4585AF8C0D}"/>
    <cellStyle name="Note 12" xfId="170" xr:uid="{141DD0A8-6A91-4DDA-9C10-082A771B98F5}"/>
    <cellStyle name="Note 13" xfId="171" xr:uid="{48552FA9-E853-45EC-BA15-8B16554998A4}"/>
    <cellStyle name="Note 2" xfId="172" xr:uid="{B17B849B-0234-414B-B7CA-F5E528019CA3}"/>
    <cellStyle name="Note 2 2" xfId="173" xr:uid="{08D22430-594E-429F-8AC3-EDD35BFF31B9}"/>
    <cellStyle name="Note 2 3" xfId="174" xr:uid="{4F751C9E-6578-4688-80ED-37D036BC453E}"/>
    <cellStyle name="Note 3" xfId="175" xr:uid="{1CE74625-5219-4672-9AB9-7AE26C7FDAB2}"/>
    <cellStyle name="Note 3 2" xfId="176" xr:uid="{6B31CD2C-7CB8-4978-AACE-BF3B222A0EEE}"/>
    <cellStyle name="Note 3 3" xfId="177" xr:uid="{A21FC528-4D3C-428F-9AD4-F989F1297930}"/>
    <cellStyle name="Note 4" xfId="178" xr:uid="{56AFDAB3-A2DA-441C-964F-6B8101C1DCD1}"/>
    <cellStyle name="Note 5" xfId="179" xr:uid="{54CB33AA-B397-4A78-A618-A861F3F8B1F0}"/>
    <cellStyle name="Note 6" xfId="180" xr:uid="{D5EA70B0-FD9F-4B7F-886A-E21800BBD37D}"/>
    <cellStyle name="Note 7" xfId="181" xr:uid="{0422F4AF-0087-4CD3-AF3F-C2C41E300555}"/>
    <cellStyle name="Note 8" xfId="182" xr:uid="{56F6DB49-721A-4198-8421-7082BA37E75A}"/>
    <cellStyle name="Note 9" xfId="183" xr:uid="{AC5DCB92-0DE6-4046-9542-2AF7C6D8650B}"/>
    <cellStyle name="Output" xfId="15" builtinId="21" customBuiltin="1"/>
    <cellStyle name="Percent 2" xfId="7" xr:uid="{4368C6F5-1988-4081-B5A6-E643D43C9771}"/>
    <cellStyle name="Result" xfId="184" xr:uid="{8DCC0108-8A77-4461-A2A9-7C25B8B81AC7}"/>
    <cellStyle name="Result 2" xfId="185" xr:uid="{06068123-E168-4003-9968-875A6A797866}"/>
    <cellStyle name="Result 3" xfId="186" xr:uid="{5FC4083C-E511-4C9D-99D5-CD6EEC379EEC}"/>
    <cellStyle name="Result 4" xfId="187" xr:uid="{91A2C874-0DAD-4DE5-8BA0-F378CE47B859}"/>
    <cellStyle name="Result2" xfId="188" xr:uid="{338DE698-608D-4C84-8CA5-05C6BBAD611D}"/>
    <cellStyle name="Result2 2" xfId="189" xr:uid="{54BBD9ED-CD96-425D-9AFD-34DCA224201A}"/>
    <cellStyle name="Result2 3" xfId="190" xr:uid="{5ACF4585-D469-4F92-B27A-B0649029930A}"/>
    <cellStyle name="Result2 4" xfId="191" xr:uid="{D5550661-2F8B-4E13-8FC3-D954A5A81A15}"/>
    <cellStyle name="Title 2" xfId="192" xr:uid="{284D6E4C-5CB5-4FBE-BE4F-B4A5F104FFD1}"/>
    <cellStyle name="Total" xfId="22" builtinId="25" customBuiltin="1"/>
    <cellStyle name="Warning Text" xfId="19" builtinId="11" customBuiltin="1"/>
  </cellStyles>
  <dxfs count="86">
    <dxf>
      <numFmt numFmtId="5" formatCode="#,##0;\-#,##0"/>
    </dxf>
    <dxf>
      <numFmt numFmtId="166" formatCode="0.0;\-0.0"/>
    </dxf>
    <dxf>
      <numFmt numFmtId="5" formatCode="#,##0;\-#,##0"/>
    </dxf>
    <dxf>
      <numFmt numFmtId="166" formatCode="0.0;\-0.0"/>
    </dxf>
    <dxf>
      <numFmt numFmtId="5" formatCode="#,##0;\-#,##0"/>
    </dxf>
    <dxf>
      <numFmt numFmtId="166" formatCode="0.0;\-0.0"/>
    </dxf>
    <dxf>
      <numFmt numFmtId="5" formatCode="#,##0;\-#,##0"/>
    </dxf>
    <dxf>
      <numFmt numFmtId="166" formatCode="0.0;\-0.0"/>
    </dxf>
    <dxf>
      <numFmt numFmtId="5" formatCode="#,##0;\-#,##0"/>
    </dxf>
    <dxf>
      <numFmt numFmtId="166" formatCode="0.0;\-0.0"/>
    </dxf>
    <dxf>
      <numFmt numFmtId="5" formatCode="#,##0;\-#,##0"/>
    </dxf>
    <dxf>
      <numFmt numFmtId="166" formatCode="0.0;\-0.0"/>
    </dxf>
    <dxf>
      <numFmt numFmtId="5" formatCode="#,##0;\-#,##0"/>
    </dxf>
    <dxf>
      <numFmt numFmtId="166" formatCode="0.0;\-0.0"/>
    </dxf>
    <dxf>
      <numFmt numFmtId="5" formatCode="#,##0;\-#,##0"/>
    </dxf>
    <dxf>
      <numFmt numFmtId="166" formatCode="0.0;\-0.0"/>
    </dxf>
    <dxf>
      <numFmt numFmtId="5" formatCode="#,##0;\-#,##0"/>
    </dxf>
    <dxf>
      <numFmt numFmtId="166" formatCode="0.0;\-0.0"/>
    </dxf>
    <dxf>
      <numFmt numFmtId="5" formatCode="#,##0;\-#,##0"/>
    </dxf>
    <dxf>
      <numFmt numFmtId="166" formatCode="0.0;\-0.0"/>
    </dxf>
    <dxf>
      <numFmt numFmtId="3" formatCode="#,##0"/>
    </dxf>
    <dxf>
      <numFmt numFmtId="167" formatCode="0.0"/>
    </dxf>
    <dxf>
      <numFmt numFmtId="5" formatCode="#,##0;\-#,##0"/>
    </dxf>
    <dxf>
      <numFmt numFmtId="166" formatCode="0.0;\-0.0"/>
    </dxf>
    <dxf>
      <numFmt numFmtId="5" formatCode="#,##0;\-#,##0"/>
    </dxf>
    <dxf>
      <numFmt numFmtId="166" formatCode="0.0;\-0.0"/>
    </dxf>
    <dxf>
      <numFmt numFmtId="5" formatCode="#,##0;\-#,##0"/>
    </dxf>
    <dxf>
      <numFmt numFmtId="166" formatCode="0.0;\-0.0"/>
    </dxf>
    <dxf>
      <numFmt numFmtId="5" formatCode="#,##0;\-#,##0"/>
    </dxf>
    <dxf>
      <numFmt numFmtId="166" formatCode="0.0;\-0.0"/>
    </dxf>
    <dxf>
      <numFmt numFmtId="5" formatCode="#,##0;\-#,##0"/>
    </dxf>
    <dxf>
      <numFmt numFmtId="166" formatCode="0.0;\-0.0"/>
    </dxf>
    <dxf>
      <numFmt numFmtId="5" formatCode="#,##0;\-#,##0"/>
    </dxf>
    <dxf>
      <numFmt numFmtId="166" formatCode="0.0;\-0.0"/>
    </dxf>
    <dxf>
      <numFmt numFmtId="5" formatCode="#,##0;\-#,##0"/>
    </dxf>
    <dxf>
      <numFmt numFmtId="166" formatCode="0.0;\-0.0"/>
    </dxf>
    <dxf>
      <numFmt numFmtId="5" formatCode="#,##0;\-#,##0"/>
    </dxf>
    <dxf>
      <numFmt numFmtId="166" formatCode="0.0;\-0.0"/>
    </dxf>
    <dxf>
      <numFmt numFmtId="3" formatCode="#,##0"/>
    </dxf>
    <dxf>
      <numFmt numFmtId="167" formatCode="0.0"/>
    </dxf>
    <dxf>
      <numFmt numFmtId="168" formatCode="#,##0;\–#,##0"/>
    </dxf>
    <dxf>
      <numFmt numFmtId="169" formatCode="0.0;\–0.0"/>
    </dxf>
    <dxf>
      <numFmt numFmtId="168" formatCode="#,##0;\–#,##0"/>
    </dxf>
    <dxf>
      <numFmt numFmtId="5" formatCode="#,##0;\-#,##0"/>
    </dxf>
    <dxf>
      <numFmt numFmtId="166" formatCode="0.0;\-0.0"/>
    </dxf>
    <dxf>
      <numFmt numFmtId="5" formatCode="#,##0;\-#,##0"/>
    </dxf>
    <dxf>
      <numFmt numFmtId="166" formatCode="0.0;\-0.0"/>
    </dxf>
    <dxf>
      <numFmt numFmtId="5" formatCode="#,##0;\-#,##0"/>
    </dxf>
    <dxf>
      <numFmt numFmtId="166" formatCode="0.0;\-0.0"/>
    </dxf>
    <dxf>
      <numFmt numFmtId="5" formatCode="#,##0;\-#,##0"/>
    </dxf>
    <dxf>
      <numFmt numFmtId="166" formatCode="0.0;\-0.0"/>
    </dxf>
    <dxf>
      <numFmt numFmtId="5" formatCode="#,##0;\-#,##0"/>
    </dxf>
    <dxf>
      <numFmt numFmtId="166" formatCode="0.0;\-0.0"/>
    </dxf>
    <dxf>
      <numFmt numFmtId="5" formatCode="#,##0;\-#,##0"/>
    </dxf>
    <dxf>
      <numFmt numFmtId="166" formatCode="0.0;\-0.0"/>
    </dxf>
    <dxf>
      <numFmt numFmtId="5" formatCode="#,##0;\-#,##0"/>
    </dxf>
    <dxf>
      <numFmt numFmtId="166" formatCode="0.0;\-0.0"/>
    </dxf>
    <dxf>
      <numFmt numFmtId="5" formatCode="#,##0;\-#,##0"/>
    </dxf>
    <dxf>
      <numFmt numFmtId="166" formatCode="0.0;\-0.0"/>
    </dxf>
    <dxf>
      <numFmt numFmtId="3" formatCode="#,##0"/>
    </dxf>
    <dxf>
      <numFmt numFmtId="167" formatCode="0.0"/>
    </dxf>
    <dxf>
      <numFmt numFmtId="3" formatCode="#,##0"/>
    </dxf>
    <dxf>
      <numFmt numFmtId="167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numFmt numFmtId="0" formatCode="General"/>
      <fill>
        <patternFill patternType="solid">
          <fgColor rgb="FF000000"/>
          <bgColor rgb="FFFFFFFF"/>
        </patternFill>
      </fill>
      <alignment horizontal="right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 Light"/>
        <family val="1"/>
        <scheme val="none"/>
      </font>
      <numFmt numFmtId="3" formatCode="#,##0"/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1"/>
        <scheme val="none"/>
      </font>
      <numFmt numFmtId="3" formatCode="#,##0"/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indexed="64"/>
        </top>
        <bottom style="thin">
          <color rgb="FFFFFFFF"/>
        </bottom>
        <vertical/>
        <horizontal/>
      </border>
    </dxf>
    <dxf>
      <border outline="0">
        <bottom style="thin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numFmt numFmtId="3" formatCode="#,##0"/>
      <fill>
        <patternFill patternType="solid">
          <fgColor rgb="FF000000"/>
          <bgColor rgb="FFFFFFFF"/>
        </patternFill>
      </fill>
      <alignment horizontal="right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 Light"/>
        <family val="1"/>
        <scheme val="none"/>
      </font>
      <numFmt numFmtId="3" formatCode="#,##0"/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1"/>
        <scheme val="none"/>
      </font>
      <numFmt numFmtId="3" formatCode="#,##0"/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indexed="64"/>
        </top>
        <bottom style="thin">
          <color rgb="FFFFFFFF"/>
        </bottom>
        <vertical/>
        <horizontal/>
      </border>
    </dxf>
    <dxf>
      <border outline="0">
        <bottom style="thin">
          <color rgb="FFFFFFFF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numFmt numFmtId="170" formatCode="###\ ##0.0;\–###\ ##0"/>
      <fill>
        <patternFill patternType="solid">
          <fgColor rgb="FF000000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.5"/>
        <color indexed="8"/>
        <name val="Calibri Light"/>
        <family val="1"/>
        <scheme val="major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numFmt numFmtId="3" formatCode="#,##0"/>
      <fill>
        <patternFill patternType="solid">
          <fgColor rgb="FF000000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 Light"/>
        <family val="1"/>
        <scheme val="none"/>
      </font>
      <numFmt numFmtId="3" formatCode="#,##0"/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1"/>
        <scheme val="none"/>
      </font>
      <numFmt numFmtId="3" formatCode="#,##0"/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indexed="64"/>
        </top>
        <bottom style="thin">
          <color rgb="FFFFFFFF"/>
        </bottom>
        <vertical/>
        <horizontal/>
      </border>
    </dxf>
    <dxf>
      <border outline="0">
        <bottom style="thin">
          <color rgb="FFFFFFFF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Ido Bar" id="{A316E953-299C-4406-9525-D7900747D220}" userId="S::i.bar@griffith.edu.au::9c4f91f7-3090-4227-869c-781de00a9843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297A6F8-4AF9-48C5-93F3-7A3222A905E1}" name="Table1710" displayName="Table1710" ref="A1:AN11" totalsRowShown="0" headerRowDxfId="81">
  <autoFilter ref="A1:AN11" xr:uid="{E8A78859-0DB2-45A8-8B78-0FB949CC6D01}"/>
  <tableColumns count="40">
    <tableColumn id="1" xr3:uid="{E483706E-0ED3-44DC-9D8A-C718A5F921FA}" name="State"/>
    <tableColumn id="2" xr3:uid="{5FA855CC-A047-44A6-B378-BCEBDC9FB1F5}" name="Measure"/>
    <tableColumn id="3" xr3:uid="{C7557B87-BD49-43A4-9815-2E97403BFF92}" name="1989–90"/>
    <tableColumn id="4" xr3:uid="{24C5ADC1-2D5F-4F79-BC32-602CDCDA7061}" name="1990–91"/>
    <tableColumn id="5" xr3:uid="{9522248A-880A-4A09-AA09-F95E0C99E43F}" name="1991–92"/>
    <tableColumn id="6" xr3:uid="{4E24F324-8650-4A37-A3A2-CFFBA087194E}" name="1992–93"/>
    <tableColumn id="7" xr3:uid="{CE2DC61A-2987-47B3-8A90-FD4FC1C115C6}" name="1993–94"/>
    <tableColumn id="8" xr3:uid="{C2DAA4E2-16F4-4E23-B746-2A328B2CDC8C}" name="1994–95"/>
    <tableColumn id="9" xr3:uid="{8792D440-572E-4122-9BF4-95CEF840FF10}" name="1995–96"/>
    <tableColumn id="10" xr3:uid="{F112BF09-247C-4248-9768-26A2E564E843}" name="1996–97"/>
    <tableColumn id="11" xr3:uid="{E99CB951-BE3F-42FD-B227-9D3E10FBD81B}" name="1997–98"/>
    <tableColumn id="12" xr3:uid="{556BD93E-18EC-453D-970E-6B0FBC09D401}" name="1998–99"/>
    <tableColumn id="13" xr3:uid="{5DF02E11-4FA7-4767-A7CA-871A90123BB7}" name="1999–00"/>
    <tableColumn id="14" xr3:uid="{40CB6848-3AB8-4D70-8F4A-8DED98006A4B}" name="2000–01"/>
    <tableColumn id="15" xr3:uid="{1B0A4E35-3613-47F4-898D-9221D9B40345}" name="2001–02"/>
    <tableColumn id="16" xr3:uid="{FA31A028-5C55-4C99-8F8D-DE71C7D61E46}" name="2002–03"/>
    <tableColumn id="17" xr3:uid="{8A5E4549-A661-46AE-A939-8A2910720EDF}" name="2003–04"/>
    <tableColumn id="18" xr3:uid="{8ED08998-368E-4F71-A016-E412C897522C}" name="2004–05"/>
    <tableColumn id="19" xr3:uid="{23FD6A4C-76A4-4B30-984D-6B92D37FB90B}" name="2005–06"/>
    <tableColumn id="20" xr3:uid="{A18D92F2-D216-4410-9FB1-98EC3D64D3F1}" name="2006–07"/>
    <tableColumn id="21" xr3:uid="{4DB9BBF3-7E10-40C5-8A10-3AF1395EE557}" name="2007–08"/>
    <tableColumn id="22" xr3:uid="{7DF34CB3-8F30-44E0-818D-BE16E5918B60}" name="2008–09"/>
    <tableColumn id="23" xr3:uid="{DF6E4961-E03D-44A0-A884-48D06BE6E353}" name="2009–10"/>
    <tableColumn id="24" xr3:uid="{15674A1A-5987-4652-B7BD-463603763121}" name="2010–11"/>
    <tableColumn id="25" xr3:uid="{09847649-6EA4-473B-BD7A-3D30BC012B52}" name="2011–12"/>
    <tableColumn id="26" xr3:uid="{BB527709-67D0-4310-A65C-D6060BF90F37}" name="2012–13"/>
    <tableColumn id="27" xr3:uid="{0A16CB58-631A-4158-823D-662E9849C9AB}" name="2013–14"/>
    <tableColumn id="28" xr3:uid="{17296D83-D730-40CD-A506-0A6F44918EF7}" name="2014–15"/>
    <tableColumn id="29" xr3:uid="{86BD1569-599D-47C6-AD91-CC1DAF4D5D39}" name="2015–16"/>
    <tableColumn id="30" xr3:uid="{7425E713-B824-48DF-B85B-6D8825943709}" name="2016–17"/>
    <tableColumn id="31" xr3:uid="{73A4CE74-8EE1-48B6-A3D2-E21F0B77486B}" name="2017–18"/>
    <tableColumn id="32" xr3:uid="{0CDCEEC7-7050-4AB3-9419-F8FC6D82747A}" name="2018–19"/>
    <tableColumn id="33" xr3:uid="{FE476AA1-FD13-4511-B31C-9606B81EA903}" name="2019–20"/>
    <tableColumn id="34" xr3:uid="{58AACD32-A882-4EDB-B655-6ECDB6A9979D}" name="2020–21"/>
    <tableColumn id="35" xr3:uid="{117A60D6-C26C-48EC-A45C-896234EF23F6}" name="2021–22"/>
    <tableColumn id="36" xr3:uid="{1911A47F-A8AC-4A32-81C4-A119EE5C54CF}" name="2022–23 s" dataDxfId="80"/>
    <tableColumn id="37" xr3:uid="{35A100EB-BA24-4F52-813F-70E1B033755A}" name="2023–24 s"/>
    <tableColumn id="38" xr3:uid="{E1DA8C39-B370-4F84-B906-46CBE9D965B0}" name="2024–25 s"/>
    <tableColumn id="39" xr3:uid="{3416D3B0-6911-411E-BD89-60313F542483}" name="2025–26 s"/>
    <tableColumn id="40" xr3:uid="{376D86EF-1B77-430F-B097-80BFE5164805}" name="2026–27 f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8583C2D-1E22-4590-A514-82D16EDFDAD5}" name="Table1" displayName="Table1" ref="A1:AN11" totalsRowShown="0" headerRowDxfId="79" headerRowBorderDxfId="78" tableBorderDxfId="77">
  <autoFilter ref="A1:AN11" xr:uid="{D187FAF8-D1E0-4840-B254-4D85808353CD}"/>
  <tableColumns count="40">
    <tableColumn id="1" xr3:uid="{A8D54B65-FDBA-4BE3-8C81-265C5E17C7C8}" name="State"/>
    <tableColumn id="2" xr3:uid="{B8CE7262-3F35-4C7C-AB36-EE632EC81969}" name="Measure"/>
    <tableColumn id="3" xr3:uid="{2A709439-1A0B-4F51-B554-4502AF45EA26}" name="1989–90"/>
    <tableColumn id="4" xr3:uid="{EFA5C301-EC5F-4BD8-BA50-52F4A45D7D41}" name="1990–91"/>
    <tableColumn id="5" xr3:uid="{5AEAB7D4-EA5A-4AE2-B74E-5C29DBCF9A3A}" name="1991–92"/>
    <tableColumn id="6" xr3:uid="{4A74A147-D6A5-442B-ADBB-ECB81B5DBDD9}" name="1992–93"/>
    <tableColumn id="7" xr3:uid="{0BFAA26A-AB91-4B94-B243-4FD4803EED74}" name="1993–94"/>
    <tableColumn id="8" xr3:uid="{A3E03BB2-C8F0-452B-9C07-24165A94E083}" name="1994–95"/>
    <tableColumn id="9" xr3:uid="{8CAD9B9C-640E-41B2-81CF-8261FB683B5B}" name="1995–96"/>
    <tableColumn id="10" xr3:uid="{78F34A27-67B9-4961-BAE7-128EDEDACEC0}" name="1996–97"/>
    <tableColumn id="11" xr3:uid="{55CB85C5-2595-4632-83C6-3E09DD989780}" name="1997–98"/>
    <tableColumn id="12" xr3:uid="{D4DD81C6-30F0-4F3A-A357-FF3B51CD7EAF}" name="1998–99"/>
    <tableColumn id="13" xr3:uid="{C5040AD0-84C1-4886-B380-BE9526D04827}" name="1999–00"/>
    <tableColumn id="14" xr3:uid="{6F7FA1FC-32F5-4C58-8617-743737665E08}" name="2000–01"/>
    <tableColumn id="15" xr3:uid="{9A3B91F8-BEAF-49CA-B12F-BE31E23900C8}" name="2001–02"/>
    <tableColumn id="16" xr3:uid="{870DC44D-4BA9-4864-A568-E02AE8C2E0F7}" name="2002–03"/>
    <tableColumn id="17" xr3:uid="{EBCB18AB-C4EF-4D34-9AF7-2AF4BDF88EF7}" name="2003–04"/>
    <tableColumn id="18" xr3:uid="{E64A9286-1396-4764-8529-7616C6BBC82F}" name="2004–05"/>
    <tableColumn id="19" xr3:uid="{3A042AC0-A3D8-4D22-AF76-74EC022D2B28}" name="2005–06"/>
    <tableColumn id="20" xr3:uid="{AA0C1DFB-343D-4D46-819D-44B89F8B7599}" name="2006–07"/>
    <tableColumn id="21" xr3:uid="{AA95731E-E325-4845-815C-1AE197F48C9F}" name="2007–08"/>
    <tableColumn id="22" xr3:uid="{C3C49D52-3904-4CE0-8AF7-489347FA14EE}" name="2008–09"/>
    <tableColumn id="23" xr3:uid="{BED4E474-7707-4EB6-9391-61D16B2F0926}" name="2009–10"/>
    <tableColumn id="24" xr3:uid="{FE07C1AD-466E-4E18-B99E-F73FAEFF0437}" name="2010–11"/>
    <tableColumn id="25" xr3:uid="{F2661869-72DB-4846-9978-D0FB1DA7FC69}" name="2011–12"/>
    <tableColumn id="26" xr3:uid="{239A5F11-D44F-46BA-AFBD-55C1A4B06FDD}" name="2012–13"/>
    <tableColumn id="27" xr3:uid="{9C43B05E-4557-4F3D-BF1C-7EC1C5F35EE1}" name="2013–14"/>
    <tableColumn id="28" xr3:uid="{939253B0-6E76-4951-B17C-693229A1AB68}" name="2014–15"/>
    <tableColumn id="29" xr3:uid="{7F424664-C323-49C4-BE5A-1C89EB0065E3}" name="2015–16"/>
    <tableColumn id="30" xr3:uid="{67A680FA-3CF8-4121-AE5A-A535B6A398C2}" name="2016–17"/>
    <tableColumn id="31" xr3:uid="{0A49B39C-8404-49AD-A922-84B457DAB227}" name="2017–18"/>
    <tableColumn id="32" xr3:uid="{0E738A5E-747E-4C76-88EC-838103AFE82F}" name="2018–19"/>
    <tableColumn id="33" xr3:uid="{B1246627-E80D-4FC2-86C5-66B0EA2BB787}" name="2019–20"/>
    <tableColumn id="34" xr3:uid="{AA7953D7-2BE5-4C9F-AC83-02D62EC55306}" name="2020–21"/>
    <tableColumn id="35" xr3:uid="{6A935409-21E2-41C5-AAA5-5379FCBF4CC3}" name="2021–22"/>
    <tableColumn id="36" xr3:uid="{2E760B4B-1F11-460B-87D5-B1A9DD9C736D}" name="2022–23 s"/>
    <tableColumn id="37" xr3:uid="{9F07AC1A-3E08-4ED5-930F-97A52BF27B1B}" name="2023–24 s"/>
    <tableColumn id="38" xr3:uid="{876D506E-F213-4882-BB8F-2E0F33A0D9C8}" name="2024–25 s"/>
    <tableColumn id="39" xr3:uid="{9931DB4D-7E16-4A9B-AEFE-C2273A158FB7}" name="2025–26 s"/>
    <tableColumn id="40" xr3:uid="{A6ADAA23-1ACC-4452-A9AA-FBA94016BEA6}" name="2026–27 f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84CED1E-213F-4A21-AABD-1FE83597C799}" name="Table316" displayName="Table316" ref="A1:AN11" totalsRowShown="0" headerRowDxfId="76" headerRowBorderDxfId="75" tableBorderDxfId="74">
  <autoFilter ref="A1:AN11" xr:uid="{556F2B5B-9333-45E7-B9F6-A12595EC128B}"/>
  <tableColumns count="40">
    <tableColumn id="1" xr3:uid="{4519E80C-53E7-4675-A5ED-70EBBB969405}" name="State"/>
    <tableColumn id="2" xr3:uid="{465CB4DB-7AAB-4AED-B65E-9A1BB0A8F28F}" name="Measure"/>
    <tableColumn id="3" xr3:uid="{05D3BC78-2588-4D3B-8738-8678B4721E89}" name="1989–90"/>
    <tableColumn id="4" xr3:uid="{588D2038-2B6B-4569-9091-BFE2A16CC702}" name="1990–91"/>
    <tableColumn id="5" xr3:uid="{9DCDF526-17FE-49A0-B6ED-8DA660B1F1FB}" name="1991–92"/>
    <tableColumn id="6" xr3:uid="{D14AEBBF-A193-443B-8954-F81949B35266}" name="1992–93"/>
    <tableColumn id="7" xr3:uid="{2686E7C1-6596-4902-A1C6-D2D48D5343EC}" name="1993–94"/>
    <tableColumn id="8" xr3:uid="{894A7EBF-0E09-4029-8DB3-DA20BE3CC9F2}" name="1994–95"/>
    <tableColumn id="9" xr3:uid="{5FC67449-641B-4600-8F0D-7DA049B4075E}" name="1995–96"/>
    <tableColumn id="10" xr3:uid="{5011C808-664C-4A6A-BA87-1852F6A481A5}" name="1996–97"/>
    <tableColumn id="11" xr3:uid="{40982FE1-E3A6-4BA5-A9B0-F185CF4B044A}" name="1997–98"/>
    <tableColumn id="12" xr3:uid="{8EB42E8D-B8F5-4A02-8795-950A3042EBEC}" name="1998–99"/>
    <tableColumn id="13" xr3:uid="{F877F32D-45B1-4B00-AD77-9E0A2365B56C}" name="1999–00"/>
    <tableColumn id="14" xr3:uid="{BD48E89C-F6E6-45E7-872B-7F55EE361860}" name="2000–01"/>
    <tableColumn id="15" xr3:uid="{8A31F3D5-4370-474B-9E54-F1828458F367}" name="2001–02"/>
    <tableColumn id="16" xr3:uid="{5BD0726C-14B1-4920-BEEB-FB99B8ADFB9E}" name="2002–03"/>
    <tableColumn id="17" xr3:uid="{C82A8B4E-F5B3-4314-A84C-949FBE9DD74E}" name="2003–04"/>
    <tableColumn id="18" xr3:uid="{5A05B99A-3CBC-4268-B6BB-80EBD4786B7C}" name="2004–05"/>
    <tableColumn id="19" xr3:uid="{63D38755-FB9F-4104-B24A-FBE3B09CA96E}" name="2005–06"/>
    <tableColumn id="20" xr3:uid="{E9486772-EA50-427F-A4A3-335265DF7DFD}" name="2006–07"/>
    <tableColumn id="21" xr3:uid="{577F68AC-6BEF-4F26-9B81-2F77B7D23B5B}" name="2007–08"/>
    <tableColumn id="22" xr3:uid="{4B977D90-8DB2-4468-BC69-38EEE9CFEA84}" name="2008–09"/>
    <tableColumn id="23" xr3:uid="{E7BB7A3C-CA06-4B4F-BB31-DB5A226831D5}" name="2009–10"/>
    <tableColumn id="24" xr3:uid="{D1D69EC9-450F-4E0A-8BA4-62FE7E88ABFF}" name="2010–11"/>
    <tableColumn id="25" xr3:uid="{E4FE5946-AB8A-4096-B559-DE3158486E86}" name="2011–12"/>
    <tableColumn id="26" xr3:uid="{ABA350FC-61A1-4791-BDE4-DCDD47CD2B31}" name="2012–13"/>
    <tableColumn id="27" xr3:uid="{0F94F2AA-8B29-4A04-8A7D-32759FD2ECF5}" name="2013–14"/>
    <tableColumn id="28" xr3:uid="{E05563CF-F091-4FA2-8233-020121D560AC}" name="2014–15"/>
    <tableColumn id="29" xr3:uid="{C741F0CB-CDE5-4B3B-ADAA-D647739E1B89}" name="2015–16"/>
    <tableColumn id="30" xr3:uid="{C8F370F8-C71F-4728-B854-58DF3EE927D4}" name="2016–17"/>
    <tableColumn id="31" xr3:uid="{90C308D2-EEE9-4AF6-87BC-C3121AA873E7}" name="2017–18"/>
    <tableColumn id="32" xr3:uid="{39E0B109-E1CD-427F-8802-A807C77CE42A}" name="2018–19"/>
    <tableColumn id="33" xr3:uid="{723A0FD0-6F6D-4606-B5B4-E1F1C285D393}" name="2019–20"/>
    <tableColumn id="34" xr3:uid="{B679D8E9-42C5-4A55-B4C7-70C4F25D0196}" name="2020–21"/>
    <tableColumn id="35" xr3:uid="{A2A76BB8-E2C8-4155-B7DA-F6CF2DAB2A6B}" name="2021–22"/>
    <tableColumn id="36" xr3:uid="{9EC4E1A2-222A-43E9-9FB9-4D693AB0439D}" name="2022–23 s"/>
    <tableColumn id="37" xr3:uid="{1076AA43-FF79-4089-B846-8C19378AFAEE}" name="2023–24 s"/>
    <tableColumn id="38" xr3:uid="{24BAC811-C3EE-4FAD-9645-7EB749DB3CD5}" name="2024–25 s"/>
    <tableColumn id="39" xr3:uid="{980CC734-7182-43EF-9CBC-62E45586E307}" name="2025–26 s"/>
    <tableColumn id="40" xr3:uid="{DF9B7220-08BC-47DD-878A-CEAEFEB59E3F}" name="2026–27 f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F589FF4-91D8-4B26-84C8-D0A762755897}" name="Table215" displayName="Table215" ref="A1:AN11" totalsRowShown="0" headerRowDxfId="73" headerRowBorderDxfId="72" tableBorderDxfId="71">
  <autoFilter ref="A1:AN11" xr:uid="{591ED302-5AF2-4204-B4B8-ADC906BFE39F}"/>
  <tableColumns count="40">
    <tableColumn id="1" xr3:uid="{6F449BA7-299A-4411-B123-9A857BF83C44}" name="State"/>
    <tableColumn id="2" xr3:uid="{EA37931D-F5E3-4353-BBE5-490B627EF301}" name="Measure"/>
    <tableColumn id="3" xr3:uid="{9E9F9ADE-C8E8-4136-8AF3-2BE9925C7772}" name="1989–90"/>
    <tableColumn id="4" xr3:uid="{E27C482F-9FE0-494A-898F-DFBFF070E669}" name="1990–91"/>
    <tableColumn id="5" xr3:uid="{5C8C80E9-F305-442E-8749-3C412F7506A3}" name="1991–92"/>
    <tableColumn id="6" xr3:uid="{2D5B5EE3-F04F-4445-B507-CA7684BA0A26}" name="1992–93"/>
    <tableColumn id="7" xr3:uid="{362AEF00-1C01-4C51-B55C-C0E911ABD1D1}" name="1993–94"/>
    <tableColumn id="8" xr3:uid="{63C0CBC8-3C92-4D1A-BA9F-4597C4E22000}" name="1994–95"/>
    <tableColumn id="9" xr3:uid="{10E2D804-6FB6-4062-92E9-070A840513A9}" name="1995–96"/>
    <tableColumn id="10" xr3:uid="{5C793599-36E8-49D5-A91B-C795C18C7975}" name="1996–97"/>
    <tableColumn id="11" xr3:uid="{5B06872D-24B1-4B48-A117-7928F641C765}" name="1997–98"/>
    <tableColumn id="12" xr3:uid="{8E8077B6-92EE-47CB-AA5B-FE4FD555AB0E}" name="1998–99"/>
    <tableColumn id="13" xr3:uid="{9F09B3B2-1C95-4F60-928B-D727194F07A4}" name="1999–00"/>
    <tableColumn id="14" xr3:uid="{2F87845E-A921-4AEC-B021-C312C12BD506}" name="2000–01"/>
    <tableColumn id="15" xr3:uid="{3B518FB9-0AF9-4B3A-9B83-4261DDDB3F5B}" name="2001–02"/>
    <tableColumn id="16" xr3:uid="{210533F3-2C13-4DE0-9352-C4FF725E3A43}" name="2002–03"/>
    <tableColumn id="17" xr3:uid="{E5AE8A0E-77DA-4EC2-929D-A1448073ED9F}" name="2003–04"/>
    <tableColumn id="18" xr3:uid="{C40F451E-C82D-4609-8D8F-621F707F9A99}" name="2004–05"/>
    <tableColumn id="19" xr3:uid="{20B1ACB7-B5F4-4A14-BF1E-008B0E2E35D6}" name="2005–06"/>
    <tableColumn id="20" xr3:uid="{D5ACE231-F482-46FB-A633-DB709D44AEE6}" name="2006–07"/>
    <tableColumn id="21" xr3:uid="{E29BDD5A-6B31-4623-9F3F-CB374E362375}" name="2007–08"/>
    <tableColumn id="22" xr3:uid="{264A1D51-6D13-4B58-B4D5-402C68504DA9}" name="2008–09"/>
    <tableColumn id="23" xr3:uid="{0CFC7ADF-49DC-4053-B6F2-80F83EBD13A3}" name="2009–10"/>
    <tableColumn id="24" xr3:uid="{739F2398-B300-4847-8366-E905F335D457}" name="2010–11"/>
    <tableColumn id="25" xr3:uid="{6B9EE26F-4AA6-4400-A2BE-0EF990FA6008}" name="2011–12"/>
    <tableColumn id="26" xr3:uid="{BC886953-466E-4BD0-A98A-37EEDCAC3122}" name="2012–13"/>
    <tableColumn id="27" xr3:uid="{A2140A48-3841-4AEA-AD15-D0398B21A291}" name="2013–14"/>
    <tableColumn id="28" xr3:uid="{14166E4C-8BFB-453C-9DB2-31105ADD4FF3}" name="2014–15"/>
    <tableColumn id="29" xr3:uid="{B7F1EF49-6DE8-4396-AD51-D0810839CF8C}" name="2015–16"/>
    <tableColumn id="30" xr3:uid="{A690BBCF-9B30-48C9-AE2D-075F122BF1DD}" name="2016–17"/>
    <tableColumn id="31" xr3:uid="{7E4A9DF7-778C-47BA-8660-964D357D23E0}" name="2017–18"/>
    <tableColumn id="32" xr3:uid="{783A01B9-879D-4F2F-8DCF-1D395A8E599F}" name="2018–19"/>
    <tableColumn id="33" xr3:uid="{0F2E4889-9C1E-4D01-992E-099656388490}" name="2019–20"/>
    <tableColumn id="34" xr3:uid="{2858AC83-0C49-4F50-9740-3069FA596279}" name="2020–21"/>
    <tableColumn id="35" xr3:uid="{E108FBC9-15D8-4B7B-9F59-626B07312C68}" name="2021–22"/>
    <tableColumn id="36" xr3:uid="{D5943E6E-15B2-4060-9E5E-7E1E8CB1EB63}" name="2022–23 s"/>
    <tableColumn id="37" xr3:uid="{75E6E949-7B48-4779-9ED0-CF8AFF349710}" name="2023–24 s"/>
    <tableColumn id="38" xr3:uid="{D208366A-66A7-4D09-9BCE-37969D23B51D}" name="2024–25 s"/>
    <tableColumn id="39" xr3:uid="{2659617E-0664-4ED4-BEB9-C33EFBDCF96E}" name="2025–26 s"/>
    <tableColumn id="40" xr3:uid="{DE0CDFE9-6D9B-4BA5-98B8-FE663F82C20F}" name="2026–27 f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4F56CE0-A6D8-4B07-B7DE-64EB591B3198}" name="Table289" displayName="Table289" ref="A1:F39" totalsRowShown="0" tableBorderDxfId="85">
  <autoFilter ref="A1:F39" xr:uid="{5224B8B4-49D9-4E03-8639-2E4604D735B3}"/>
  <tableColumns count="6">
    <tableColumn id="1" xr3:uid="{7E71F00E-CDF2-4009-843E-2B715978CB47}" name="Period" dataDxfId="84"/>
    <tableColumn id="2" xr3:uid="{F9245242-E2C2-41CC-ADE0-25DA52E63FA1}" name="Price" dataDxfId="83"/>
    <tableColumn id="3" xr3:uid="{CC174ACE-83DC-46F6-8343-F844513EFF85}" name="Export"/>
    <tableColumn id="4" xr3:uid="{708035E7-371A-49EC-98BB-02B0424D5F47}" name="Area"/>
    <tableColumn id="5" xr3:uid="{73223B9A-89F4-451F-A044-0BD44AB4AB16}" name="Production" dataDxfId="82"/>
    <tableColumn id="6" xr3:uid="{C9E0B673-3F5D-4E28-8BCE-D3EC3119D554}" name="Valu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116F515-FB52-45A5-B01E-29BF10801B58}" name="Table28" displayName="Table28" ref="A1:F39" totalsRowShown="0" tableBorderDxfId="70">
  <autoFilter ref="A1:F39" xr:uid="{5224B8B4-49D9-4E03-8639-2E4604D735B3}"/>
  <tableColumns count="6">
    <tableColumn id="1" xr3:uid="{F39B0A13-63A0-44D5-AA45-AE93F786A917}" name="Period" dataDxfId="69"/>
    <tableColumn id="2" xr3:uid="{F4275F08-C195-40D3-B22B-BAE1B812ED17}" name="Price" dataDxfId="68"/>
    <tableColumn id="3" xr3:uid="{881C1FD5-49D7-4015-ABA2-585782F37CC2}" name="Export"/>
    <tableColumn id="4" xr3:uid="{E41B0F62-2A04-4525-9831-9386A49175D1}" name="Area"/>
    <tableColumn id="5" xr3:uid="{D91D2F7D-520F-49B6-B68F-70D79790A9FC}" name="Production"/>
    <tableColumn id="6" xr3:uid="{AE8ACA2D-BCC0-4C48-933E-2BA5383E14FC}" name="Value" dataDxfId="67" dataCellStyle="Comm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95AE1BC-37C6-40F7-A8EE-46F622820D6F}" name="Table2812" displayName="Table2812" ref="A1:F39" totalsRowShown="0" tableBorderDxfId="66">
  <autoFilter ref="A1:F39" xr:uid="{5224B8B4-49D9-4E03-8639-2E4604D735B3}"/>
  <tableColumns count="6">
    <tableColumn id="1" xr3:uid="{E97B3F98-15FB-4216-8E90-D2BD28D56FD8}" name="Period" dataDxfId="65"/>
    <tableColumn id="2" xr3:uid="{9D640687-0984-419B-91D7-2D82CECB3A7F}" name="Price" dataDxfId="64"/>
    <tableColumn id="3" xr3:uid="{D58903AF-CCE8-422C-A89D-D9D8D2FBE1D5}" name="Export"/>
    <tableColumn id="4" xr3:uid="{F42E08B5-B43C-4B8B-89CA-582EF18F7812}" name="Area"/>
    <tableColumn id="5" xr3:uid="{B0A0C33A-FA48-4E71-A2A0-547DB9F0F581}" name="Production"/>
    <tableColumn id="6" xr3:uid="{8B5F476D-7F26-4B95-9DDD-88B765123057}" name="Value" dataDxfId="63" dataCellStyle="Comma">
      <calculatedColumnFormula>Table2812[[#This Row],[Price]]*Table2812[[#This Row],[Production]]/1000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6-06-06T11:16:39.10" personId="{A316E953-299C-4406-9525-D7900747D220}" id="{89DBEA2F-32E8-414F-B9AC-E1C2AF55200A}">
    <text xml:space="preserve">Estimates by Copilot, based on Faba price≈0.85×Lentil price
 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C80D3-B17B-43FC-9BC8-B113AFA97EA8}">
  <dimension ref="A1:AN11"/>
  <sheetViews>
    <sheetView workbookViewId="0">
      <pane xSplit="1" topLeftCell="Z1" activePane="topRight" state="frozen"/>
      <selection pane="topRight" activeCell="AJ1" sqref="AJ1"/>
    </sheetView>
  </sheetViews>
  <sheetFormatPr defaultColWidth="9.109375" defaultRowHeight="14.4"/>
  <cols>
    <col min="1" max="1" width="16.6640625" bestFit="1" customWidth="1"/>
    <col min="2" max="6" width="11" customWidth="1"/>
    <col min="7" max="8" width="11.5546875" customWidth="1"/>
    <col min="9" max="10" width="11" customWidth="1"/>
    <col min="11" max="11" width="12.6640625" customWidth="1"/>
    <col min="12" max="12" width="11.5546875" customWidth="1"/>
    <col min="13" max="13" width="12.44140625" customWidth="1"/>
    <col min="14" max="14" width="12.33203125" customWidth="1"/>
    <col min="16" max="16" width="10.33203125" bestFit="1" customWidth="1"/>
    <col min="17" max="17" width="11.109375" bestFit="1" customWidth="1"/>
    <col min="18" max="18" width="10.88671875" bestFit="1" customWidth="1"/>
    <col min="39" max="39" width="11.33203125" bestFit="1" customWidth="1"/>
    <col min="40" max="40" width="9.21875" bestFit="1" customWidth="1"/>
  </cols>
  <sheetData>
    <row r="1" spans="1:40">
      <c r="A1" t="s">
        <v>0</v>
      </c>
      <c r="B1" t="s">
        <v>1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15</v>
      </c>
      <c r="R1" t="s">
        <v>16</v>
      </c>
      <c r="S1" t="s">
        <v>17</v>
      </c>
      <c r="T1" t="s">
        <v>18</v>
      </c>
      <c r="U1" t="s">
        <v>2</v>
      </c>
      <c r="V1" t="s">
        <v>3</v>
      </c>
      <c r="W1" t="s">
        <v>4</v>
      </c>
      <c r="X1" t="s">
        <v>5</v>
      </c>
      <c r="Y1" t="s">
        <v>37</v>
      </c>
      <c r="Z1" t="s">
        <v>38</v>
      </c>
      <c r="AA1" t="s">
        <v>6</v>
      </c>
      <c r="AB1" t="s">
        <v>7</v>
      </c>
      <c r="AC1" t="s">
        <v>39</v>
      </c>
      <c r="AD1" t="s">
        <v>40</v>
      </c>
      <c r="AE1" t="s">
        <v>21</v>
      </c>
      <c r="AF1" t="s">
        <v>22</v>
      </c>
      <c r="AG1" t="s">
        <v>20</v>
      </c>
      <c r="AH1" t="s">
        <v>41</v>
      </c>
      <c r="AI1" t="s">
        <v>43</v>
      </c>
      <c r="AJ1" t="s">
        <v>44</v>
      </c>
      <c r="AK1" t="s">
        <v>45</v>
      </c>
      <c r="AL1" t="s">
        <v>47</v>
      </c>
      <c r="AM1" t="s">
        <v>51</v>
      </c>
      <c r="AN1" t="s">
        <v>50</v>
      </c>
    </row>
    <row r="2" spans="1:40">
      <c r="A2" t="s">
        <v>8</v>
      </c>
      <c r="B2" t="s">
        <v>9</v>
      </c>
      <c r="C2">
        <v>21.6</v>
      </c>
      <c r="D2">
        <v>39.5</v>
      </c>
      <c r="E2">
        <v>85.4</v>
      </c>
      <c r="F2">
        <v>28.1</v>
      </c>
      <c r="G2">
        <v>26.4</v>
      </c>
      <c r="H2">
        <v>20.2</v>
      </c>
      <c r="I2">
        <v>31.4</v>
      </c>
      <c r="J2">
        <v>31.2</v>
      </c>
      <c r="K2">
        <v>50.9</v>
      </c>
      <c r="L2">
        <v>74.7</v>
      </c>
      <c r="M2">
        <v>66.3</v>
      </c>
      <c r="N2">
        <v>124.5</v>
      </c>
      <c r="O2">
        <v>136.6</v>
      </c>
      <c r="P2">
        <v>87.5</v>
      </c>
      <c r="Q2">
        <v>107.6</v>
      </c>
      <c r="R2">
        <v>63.8</v>
      </c>
      <c r="S2">
        <v>62.4</v>
      </c>
      <c r="T2">
        <v>176.1</v>
      </c>
      <c r="U2">
        <v>214.5</v>
      </c>
      <c r="V2">
        <v>199.3</v>
      </c>
      <c r="W2">
        <v>252.3</v>
      </c>
      <c r="X2">
        <v>403.6</v>
      </c>
      <c r="Y2">
        <v>243.5</v>
      </c>
      <c r="Z2">
        <v>280.3</v>
      </c>
      <c r="AA2">
        <v>219.8</v>
      </c>
      <c r="AB2">
        <v>209.3</v>
      </c>
      <c r="AC2">
        <v>397.9</v>
      </c>
      <c r="AD2">
        <v>480</v>
      </c>
      <c r="AE2">
        <v>450</v>
      </c>
      <c r="AF2">
        <v>58.6</v>
      </c>
      <c r="AG2">
        <v>66.400000000000006</v>
      </c>
      <c r="AH2">
        <v>220</v>
      </c>
      <c r="AI2">
        <v>280</v>
      </c>
      <c r="AJ2">
        <v>160</v>
      </c>
      <c r="AK2">
        <v>150</v>
      </c>
      <c r="AL2">
        <v>580</v>
      </c>
      <c r="AM2">
        <v>590</v>
      </c>
      <c r="AN2">
        <v>300</v>
      </c>
    </row>
    <row r="3" spans="1:40">
      <c r="A3" t="s">
        <v>8</v>
      </c>
      <c r="B3" t="s">
        <v>10</v>
      </c>
      <c r="C3">
        <v>20.7</v>
      </c>
      <c r="D3">
        <v>56.5</v>
      </c>
      <c r="E3">
        <v>53</v>
      </c>
      <c r="F3">
        <v>24.7</v>
      </c>
      <c r="G3">
        <v>28.6</v>
      </c>
      <c r="H3">
        <v>7.6</v>
      </c>
      <c r="I3">
        <v>30.6</v>
      </c>
      <c r="J3">
        <v>40.799999999999997</v>
      </c>
      <c r="K3">
        <v>46.4</v>
      </c>
      <c r="L3">
        <v>52.8</v>
      </c>
      <c r="M3">
        <v>85.6</v>
      </c>
      <c r="N3">
        <v>80.3</v>
      </c>
      <c r="O3">
        <v>164.8</v>
      </c>
      <c r="P3">
        <v>45.9</v>
      </c>
      <c r="Q3">
        <v>113.2</v>
      </c>
      <c r="R3">
        <v>88.4</v>
      </c>
      <c r="S3">
        <v>72.900000000000006</v>
      </c>
      <c r="T3">
        <v>160.5</v>
      </c>
      <c r="U3">
        <v>201.5</v>
      </c>
      <c r="V3">
        <v>291.8</v>
      </c>
      <c r="W3">
        <v>303.8</v>
      </c>
      <c r="X3">
        <v>307</v>
      </c>
      <c r="Y3">
        <v>361.1</v>
      </c>
      <c r="Z3">
        <v>379</v>
      </c>
      <c r="AA3">
        <v>250.6</v>
      </c>
      <c r="AB3">
        <v>282.2</v>
      </c>
      <c r="AC3">
        <v>489.4</v>
      </c>
      <c r="AD3">
        <v>792</v>
      </c>
      <c r="AE3">
        <v>407</v>
      </c>
      <c r="AF3">
        <v>22.2</v>
      </c>
      <c r="AG3">
        <v>24.4</v>
      </c>
      <c r="AH3">
        <v>374</v>
      </c>
      <c r="AI3">
        <v>504</v>
      </c>
      <c r="AJ3">
        <v>192</v>
      </c>
      <c r="AK3">
        <v>165</v>
      </c>
      <c r="AL3">
        <v>1280</v>
      </c>
      <c r="AM3">
        <v>1180</v>
      </c>
      <c r="AN3">
        <v>400</v>
      </c>
    </row>
    <row r="4" spans="1:40">
      <c r="A4" t="s">
        <v>11</v>
      </c>
      <c r="B4" t="s">
        <v>9</v>
      </c>
      <c r="C4">
        <v>40.9</v>
      </c>
      <c r="D4">
        <v>72.2</v>
      </c>
      <c r="E4">
        <v>58.2</v>
      </c>
      <c r="F4">
        <v>32.5</v>
      </c>
      <c r="G4">
        <v>7.4</v>
      </c>
      <c r="H4">
        <v>18.899999999999999</v>
      </c>
      <c r="I4">
        <v>26.3</v>
      </c>
      <c r="J4">
        <v>20.8</v>
      </c>
      <c r="K4">
        <v>27.8</v>
      </c>
      <c r="L4">
        <v>41.5</v>
      </c>
      <c r="M4">
        <v>46.2</v>
      </c>
      <c r="N4">
        <v>71</v>
      </c>
      <c r="O4">
        <v>64.599999999999994</v>
      </c>
      <c r="P4">
        <v>84</v>
      </c>
      <c r="Q4">
        <v>73.5</v>
      </c>
      <c r="R4">
        <v>26.9</v>
      </c>
      <c r="S4" s="1">
        <v>39.200000000000003</v>
      </c>
      <c r="T4">
        <v>60.4</v>
      </c>
      <c r="U4">
        <v>66</v>
      </c>
      <c r="V4">
        <v>85.5</v>
      </c>
      <c r="W4">
        <v>124.9</v>
      </c>
      <c r="X4">
        <v>199.2</v>
      </c>
      <c r="Y4">
        <v>148.9</v>
      </c>
      <c r="Z4">
        <v>218</v>
      </c>
      <c r="AA4">
        <v>216</v>
      </c>
      <c r="AB4">
        <v>165</v>
      </c>
      <c r="AC4">
        <v>251.6</v>
      </c>
      <c r="AD4">
        <v>550</v>
      </c>
      <c r="AE4">
        <v>507.1</v>
      </c>
      <c r="AF4">
        <v>165</v>
      </c>
      <c r="AG4">
        <v>170.8</v>
      </c>
      <c r="AH4">
        <v>230</v>
      </c>
      <c r="AI4">
        <v>293.25</v>
      </c>
      <c r="AJ4">
        <v>200</v>
      </c>
      <c r="AK4">
        <v>220</v>
      </c>
      <c r="AL4">
        <v>420</v>
      </c>
      <c r="AM4">
        <v>470</v>
      </c>
      <c r="AN4">
        <v>410</v>
      </c>
    </row>
    <row r="5" spans="1:40">
      <c r="A5" t="s">
        <v>11</v>
      </c>
      <c r="B5" t="s">
        <v>10</v>
      </c>
      <c r="C5">
        <v>42.1</v>
      </c>
      <c r="D5">
        <v>87.6</v>
      </c>
      <c r="E5">
        <v>36.6</v>
      </c>
      <c r="F5">
        <v>14.2</v>
      </c>
      <c r="G5">
        <v>4.2</v>
      </c>
      <c r="H5">
        <v>7.8</v>
      </c>
      <c r="I5">
        <v>13.1</v>
      </c>
      <c r="J5">
        <v>26.4</v>
      </c>
      <c r="K5">
        <v>23.4</v>
      </c>
      <c r="L5">
        <v>33.799999999999997</v>
      </c>
      <c r="M5">
        <v>45.9</v>
      </c>
      <c r="N5">
        <v>56</v>
      </c>
      <c r="O5">
        <v>75.400000000000006</v>
      </c>
      <c r="P5">
        <v>76.099999999999994</v>
      </c>
      <c r="Q5">
        <v>70</v>
      </c>
      <c r="R5">
        <v>32.5</v>
      </c>
      <c r="S5" s="1">
        <v>39.700000000000003</v>
      </c>
      <c r="T5">
        <v>60.6</v>
      </c>
      <c r="U5">
        <v>83</v>
      </c>
      <c r="V5">
        <v>126</v>
      </c>
      <c r="W5">
        <v>145.80000000000001</v>
      </c>
      <c r="X5">
        <v>138.9</v>
      </c>
      <c r="Y5">
        <v>220.9</v>
      </c>
      <c r="Z5">
        <v>356.6</v>
      </c>
      <c r="AA5">
        <v>296.3</v>
      </c>
      <c r="AB5">
        <v>201</v>
      </c>
      <c r="AC5">
        <v>370.6</v>
      </c>
      <c r="AD5">
        <v>1150</v>
      </c>
      <c r="AE5">
        <v>467</v>
      </c>
      <c r="AF5">
        <v>117.7</v>
      </c>
      <c r="AG5">
        <v>162.1</v>
      </c>
      <c r="AH5">
        <v>275</v>
      </c>
      <c r="AI5">
        <v>500.75</v>
      </c>
      <c r="AJ5">
        <v>292</v>
      </c>
      <c r="AK5">
        <v>280</v>
      </c>
      <c r="AL5">
        <v>950</v>
      </c>
      <c r="AM5">
        <v>910</v>
      </c>
      <c r="AN5">
        <v>650</v>
      </c>
    </row>
    <row r="6" spans="1:40">
      <c r="A6" t="s">
        <v>12</v>
      </c>
      <c r="B6" t="s">
        <v>9</v>
      </c>
      <c r="C6">
        <v>24.5</v>
      </c>
      <c r="D6">
        <v>57.6</v>
      </c>
      <c r="E6">
        <v>89.6</v>
      </c>
      <c r="F6">
        <v>78.3</v>
      </c>
      <c r="G6">
        <v>100.3</v>
      </c>
      <c r="H6">
        <v>143.5</v>
      </c>
      <c r="I6">
        <v>115</v>
      </c>
      <c r="J6">
        <v>135</v>
      </c>
      <c r="K6">
        <v>127</v>
      </c>
      <c r="L6">
        <v>125.9</v>
      </c>
      <c r="M6">
        <v>27.8</v>
      </c>
      <c r="N6">
        <v>8</v>
      </c>
      <c r="O6">
        <v>17.5</v>
      </c>
      <c r="P6">
        <v>13.8</v>
      </c>
      <c r="Q6">
        <v>11.3</v>
      </c>
      <c r="R6">
        <v>15.2</v>
      </c>
      <c r="S6" s="2">
        <v>24.3</v>
      </c>
      <c r="T6">
        <v>42.4</v>
      </c>
      <c r="U6">
        <v>17</v>
      </c>
      <c r="V6">
        <v>44</v>
      </c>
      <c r="W6">
        <v>38.700000000000003</v>
      </c>
      <c r="X6">
        <v>35.799999999999997</v>
      </c>
      <c r="Y6">
        <v>47.9</v>
      </c>
      <c r="Z6">
        <v>49</v>
      </c>
      <c r="AA6">
        <v>48</v>
      </c>
      <c r="AB6">
        <v>26.4</v>
      </c>
      <c r="AC6">
        <v>13.3</v>
      </c>
      <c r="AD6">
        <v>16</v>
      </c>
      <c r="AE6">
        <v>77.099999999999994</v>
      </c>
      <c r="AF6">
        <v>33.200000000000003</v>
      </c>
      <c r="AG6">
        <v>37.799999999999997</v>
      </c>
      <c r="AH6">
        <v>45</v>
      </c>
      <c r="AI6">
        <v>30</v>
      </c>
      <c r="AJ6">
        <v>25</v>
      </c>
      <c r="AK6">
        <v>25</v>
      </c>
      <c r="AL6">
        <v>24</v>
      </c>
      <c r="AM6">
        <v>8</v>
      </c>
      <c r="AN6">
        <v>6</v>
      </c>
    </row>
    <row r="7" spans="1:40">
      <c r="A7" t="s">
        <v>12</v>
      </c>
      <c r="B7" t="s">
        <v>10</v>
      </c>
      <c r="C7">
        <v>38.299999999999997</v>
      </c>
      <c r="D7">
        <v>36.299999999999997</v>
      </c>
      <c r="E7">
        <v>112.5</v>
      </c>
      <c r="F7">
        <v>127.5</v>
      </c>
      <c r="G7">
        <v>146.19999999999999</v>
      </c>
      <c r="H7">
        <v>37.5</v>
      </c>
      <c r="I7">
        <v>199.6</v>
      </c>
      <c r="J7">
        <v>171.9</v>
      </c>
      <c r="K7">
        <v>74.900000000000006</v>
      </c>
      <c r="L7">
        <v>44.6</v>
      </c>
      <c r="M7">
        <v>22.8</v>
      </c>
      <c r="N7">
        <v>7.6</v>
      </c>
      <c r="O7">
        <v>24</v>
      </c>
      <c r="P7">
        <v>1.5</v>
      </c>
      <c r="Q7">
        <v>9.1999999999999993</v>
      </c>
      <c r="R7">
        <v>11.2</v>
      </c>
      <c r="S7" s="2">
        <v>31.4</v>
      </c>
      <c r="T7">
        <v>5.5</v>
      </c>
      <c r="U7">
        <v>19</v>
      </c>
      <c r="V7">
        <v>16.899999999999999</v>
      </c>
      <c r="W7">
        <v>25.2</v>
      </c>
      <c r="X7">
        <v>50.1</v>
      </c>
      <c r="Y7">
        <v>71.599999999999994</v>
      </c>
      <c r="Z7">
        <v>52.2</v>
      </c>
      <c r="AA7">
        <v>49.5</v>
      </c>
      <c r="AB7">
        <v>52.2</v>
      </c>
      <c r="AC7">
        <v>3.5</v>
      </c>
      <c r="AD7">
        <v>28</v>
      </c>
      <c r="AE7">
        <v>78.3</v>
      </c>
      <c r="AF7">
        <v>24.4</v>
      </c>
      <c r="AG7">
        <v>25.5</v>
      </c>
      <c r="AH7">
        <v>67.5</v>
      </c>
      <c r="AI7">
        <v>40</v>
      </c>
      <c r="AJ7">
        <v>40</v>
      </c>
      <c r="AK7">
        <v>30</v>
      </c>
      <c r="AL7">
        <v>22</v>
      </c>
      <c r="AM7">
        <v>11</v>
      </c>
      <c r="AN7">
        <v>7.02</v>
      </c>
    </row>
    <row r="8" spans="1:40">
      <c r="A8" t="s">
        <v>13</v>
      </c>
      <c r="B8" t="s">
        <v>9</v>
      </c>
      <c r="C8">
        <v>5.8</v>
      </c>
      <c r="D8">
        <v>8.1999999999999993</v>
      </c>
      <c r="E8">
        <v>16.399999999999999</v>
      </c>
      <c r="F8">
        <v>11.9</v>
      </c>
      <c r="G8">
        <v>9.3000000000000007</v>
      </c>
      <c r="H8">
        <v>12.9</v>
      </c>
      <c r="I8">
        <v>12.3</v>
      </c>
      <c r="J8">
        <v>11.8</v>
      </c>
      <c r="K8">
        <v>11.7</v>
      </c>
      <c r="L8">
        <v>15.5</v>
      </c>
      <c r="M8">
        <v>6.2</v>
      </c>
      <c r="N8">
        <v>1.2</v>
      </c>
      <c r="O8">
        <v>0.7</v>
      </c>
      <c r="P8">
        <v>4.0999999999999996</v>
      </c>
      <c r="Q8">
        <v>4.3</v>
      </c>
      <c r="R8">
        <v>0.8</v>
      </c>
      <c r="S8" s="1">
        <v>1.6</v>
      </c>
      <c r="T8">
        <v>3.4</v>
      </c>
      <c r="U8">
        <v>7.7</v>
      </c>
      <c r="V8">
        <v>6.1</v>
      </c>
      <c r="W8">
        <v>9.8000000000000007</v>
      </c>
      <c r="X8">
        <v>8.1</v>
      </c>
      <c r="Y8">
        <v>11</v>
      </c>
      <c r="Z8">
        <v>20.3</v>
      </c>
      <c r="AA8">
        <v>19</v>
      </c>
      <c r="AB8">
        <v>21.1</v>
      </c>
      <c r="AC8">
        <v>10.9</v>
      </c>
      <c r="AD8">
        <v>19</v>
      </c>
      <c r="AE8">
        <v>33.9</v>
      </c>
      <c r="AF8">
        <v>26.5</v>
      </c>
      <c r="AG8">
        <v>21.4</v>
      </c>
      <c r="AH8">
        <v>8</v>
      </c>
      <c r="AI8">
        <v>8</v>
      </c>
      <c r="AJ8">
        <v>8</v>
      </c>
      <c r="AK8">
        <v>10</v>
      </c>
      <c r="AL8">
        <v>10</v>
      </c>
      <c r="AM8">
        <v>11</v>
      </c>
      <c r="AN8">
        <v>11</v>
      </c>
    </row>
    <row r="9" spans="1:40">
      <c r="A9" t="s">
        <v>13</v>
      </c>
      <c r="B9" t="s">
        <v>10</v>
      </c>
      <c r="C9">
        <v>7.5</v>
      </c>
      <c r="D9">
        <v>10</v>
      </c>
      <c r="E9">
        <v>19.8</v>
      </c>
      <c r="F9">
        <v>9</v>
      </c>
      <c r="G9">
        <v>10.6</v>
      </c>
      <c r="H9">
        <v>7.9</v>
      </c>
      <c r="I9">
        <v>17.3</v>
      </c>
      <c r="J9">
        <v>16.8</v>
      </c>
      <c r="K9">
        <v>16.7</v>
      </c>
      <c r="L9">
        <v>13.4</v>
      </c>
      <c r="M9">
        <v>4.9000000000000004</v>
      </c>
      <c r="N9">
        <v>0.9</v>
      </c>
      <c r="O9">
        <v>1</v>
      </c>
      <c r="P9">
        <v>2</v>
      </c>
      <c r="Q9">
        <v>3.7</v>
      </c>
      <c r="R9">
        <v>0.6</v>
      </c>
      <c r="S9" s="1">
        <v>2.2000000000000002</v>
      </c>
      <c r="T9">
        <v>1.1000000000000001</v>
      </c>
      <c r="U9">
        <v>9.3000000000000007</v>
      </c>
      <c r="V9">
        <v>3.9</v>
      </c>
      <c r="W9">
        <v>9.4</v>
      </c>
      <c r="X9">
        <v>14.1</v>
      </c>
      <c r="Y9">
        <v>14</v>
      </c>
      <c r="Z9">
        <v>21.5</v>
      </c>
      <c r="AA9">
        <v>27</v>
      </c>
      <c r="AB9">
        <v>16</v>
      </c>
      <c r="AC9">
        <v>7.1</v>
      </c>
      <c r="AD9">
        <v>27</v>
      </c>
      <c r="AE9">
        <v>38.4</v>
      </c>
      <c r="AF9">
        <v>26.6</v>
      </c>
      <c r="AG9">
        <v>18.100000000000001</v>
      </c>
      <c r="AH9">
        <v>11</v>
      </c>
      <c r="AI9">
        <v>11</v>
      </c>
      <c r="AJ9">
        <v>10</v>
      </c>
      <c r="AK9">
        <v>12</v>
      </c>
      <c r="AL9">
        <v>9</v>
      </c>
      <c r="AM9">
        <v>13.53</v>
      </c>
      <c r="AN9">
        <v>13.1</v>
      </c>
    </row>
    <row r="10" spans="1:40">
      <c r="A10" t="s">
        <v>14</v>
      </c>
      <c r="B10" t="s">
        <v>9</v>
      </c>
      <c r="C10">
        <v>0.3</v>
      </c>
      <c r="D10">
        <v>0.7</v>
      </c>
      <c r="E10">
        <v>0</v>
      </c>
      <c r="F10">
        <v>1</v>
      </c>
      <c r="G10">
        <v>3.4</v>
      </c>
      <c r="H10">
        <v>13.4</v>
      </c>
      <c r="I10">
        <v>31.4</v>
      </c>
      <c r="J10">
        <v>42.6</v>
      </c>
      <c r="K10">
        <v>55.7</v>
      </c>
      <c r="L10">
        <v>50.9</v>
      </c>
      <c r="M10">
        <v>71.5</v>
      </c>
      <c r="N10">
        <v>57</v>
      </c>
      <c r="O10">
        <v>25.6</v>
      </c>
      <c r="P10">
        <v>11.8</v>
      </c>
      <c r="Q10">
        <v>4.0999999999999996</v>
      </c>
      <c r="R10">
        <v>3.5</v>
      </c>
      <c r="S10" s="2">
        <v>3.8</v>
      </c>
      <c r="T10">
        <v>1.7</v>
      </c>
      <c r="U10">
        <v>0.8</v>
      </c>
      <c r="V10">
        <v>3.3</v>
      </c>
      <c r="W10">
        <v>3.3</v>
      </c>
      <c r="X10">
        <v>6.4</v>
      </c>
      <c r="Y10">
        <v>4.7</v>
      </c>
      <c r="Z10">
        <v>6</v>
      </c>
      <c r="AA10">
        <v>5</v>
      </c>
      <c r="AB10">
        <v>3</v>
      </c>
      <c r="AC10">
        <v>3.5</v>
      </c>
      <c r="AD10">
        <v>4</v>
      </c>
      <c r="AE10">
        <v>7</v>
      </c>
      <c r="AF10">
        <v>10.7</v>
      </c>
      <c r="AG10">
        <v>12.8</v>
      </c>
      <c r="AH10">
        <v>4.5</v>
      </c>
      <c r="AI10">
        <v>4.5</v>
      </c>
      <c r="AJ10">
        <v>4.5</v>
      </c>
      <c r="AK10">
        <v>4</v>
      </c>
      <c r="AL10">
        <v>4.5</v>
      </c>
      <c r="AM10">
        <v>4.5</v>
      </c>
      <c r="AN10">
        <v>5</v>
      </c>
    </row>
    <row r="11" spans="1:40">
      <c r="A11" t="s">
        <v>14</v>
      </c>
      <c r="B11" t="s">
        <v>10</v>
      </c>
      <c r="C11">
        <v>0.8</v>
      </c>
      <c r="D11">
        <v>1.4</v>
      </c>
      <c r="E11">
        <v>0</v>
      </c>
      <c r="F11">
        <v>1.6</v>
      </c>
      <c r="G11">
        <v>3.4</v>
      </c>
      <c r="H11">
        <v>8.1</v>
      </c>
      <c r="I11">
        <v>26.3</v>
      </c>
      <c r="J11">
        <v>31.8</v>
      </c>
      <c r="K11">
        <v>37.200000000000003</v>
      </c>
      <c r="L11">
        <v>42.9</v>
      </c>
      <c r="M11">
        <v>70.7</v>
      </c>
      <c r="N11">
        <v>17.8</v>
      </c>
      <c r="O11">
        <v>8.3000000000000007</v>
      </c>
      <c r="P11">
        <v>3.3</v>
      </c>
      <c r="Q11">
        <v>2.8</v>
      </c>
      <c r="R11">
        <v>2.6</v>
      </c>
      <c r="S11" s="2">
        <v>3.5</v>
      </c>
      <c r="T11">
        <v>1.5</v>
      </c>
      <c r="U11">
        <v>0.2</v>
      </c>
      <c r="V11">
        <v>4</v>
      </c>
      <c r="W11">
        <v>2.9</v>
      </c>
      <c r="X11">
        <v>3.3</v>
      </c>
      <c r="Y11">
        <v>5.8</v>
      </c>
      <c r="Z11">
        <v>4</v>
      </c>
      <c r="AA11">
        <v>6</v>
      </c>
      <c r="AB11">
        <v>4</v>
      </c>
      <c r="AC11">
        <v>3.9</v>
      </c>
      <c r="AD11">
        <v>7</v>
      </c>
      <c r="AE11">
        <v>7.5</v>
      </c>
      <c r="AF11">
        <v>14.3</v>
      </c>
      <c r="AG11">
        <v>5.0999999999999996</v>
      </c>
      <c r="AH11">
        <v>5</v>
      </c>
      <c r="AI11">
        <v>6.5</v>
      </c>
      <c r="AJ11">
        <v>7</v>
      </c>
      <c r="AK11">
        <v>4.2</v>
      </c>
      <c r="AL11">
        <v>6</v>
      </c>
      <c r="AM11">
        <v>5</v>
      </c>
      <c r="AN11">
        <v>6.4939999999999998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EF324-3084-4293-BE45-9CC1775EAE82}">
  <dimension ref="A1:AN11"/>
  <sheetViews>
    <sheetView workbookViewId="0">
      <selection activeCell="AN2" sqref="AN2:AN11"/>
    </sheetView>
  </sheetViews>
  <sheetFormatPr defaultRowHeight="14.4"/>
  <cols>
    <col min="2" max="2" width="10.21875" customWidth="1"/>
    <col min="3" max="35" width="9.88671875" customWidth="1"/>
    <col min="36" max="39" width="11.109375" customWidth="1"/>
    <col min="40" max="40" width="11" customWidth="1"/>
  </cols>
  <sheetData>
    <row r="1" spans="1:40">
      <c r="A1" s="9" t="s">
        <v>0</v>
      </c>
      <c r="B1" s="9" t="s">
        <v>1</v>
      </c>
      <c r="C1" s="9" t="s">
        <v>23</v>
      </c>
      <c r="D1" s="9" t="s">
        <v>24</v>
      </c>
      <c r="E1" s="9" t="s">
        <v>25</v>
      </c>
      <c r="F1" s="9" t="s">
        <v>26</v>
      </c>
      <c r="G1" s="9" t="s">
        <v>27</v>
      </c>
      <c r="H1" s="9" t="s">
        <v>28</v>
      </c>
      <c r="I1" s="9" t="s">
        <v>29</v>
      </c>
      <c r="J1" s="9" t="s">
        <v>30</v>
      </c>
      <c r="K1" s="9" t="s">
        <v>31</v>
      </c>
      <c r="L1" s="9" t="s">
        <v>32</v>
      </c>
      <c r="M1" s="9" t="s">
        <v>33</v>
      </c>
      <c r="N1" s="9" t="s">
        <v>34</v>
      </c>
      <c r="O1" s="9" t="s">
        <v>35</v>
      </c>
      <c r="P1" s="9" t="s">
        <v>36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2</v>
      </c>
      <c r="V1" s="9" t="s">
        <v>3</v>
      </c>
      <c r="W1" s="9" t="s">
        <v>4</v>
      </c>
      <c r="X1" s="9" t="s">
        <v>5</v>
      </c>
      <c r="Y1" s="9" t="s">
        <v>37</v>
      </c>
      <c r="Z1" s="9" t="s">
        <v>38</v>
      </c>
      <c r="AA1" s="9" t="s">
        <v>6</v>
      </c>
      <c r="AB1" s="9" t="s">
        <v>7</v>
      </c>
      <c r="AC1" s="9" t="s">
        <v>39</v>
      </c>
      <c r="AD1" s="9" t="s">
        <v>40</v>
      </c>
      <c r="AE1" s="9" t="s">
        <v>21</v>
      </c>
      <c r="AF1" s="9" t="s">
        <v>22</v>
      </c>
      <c r="AG1" s="9" t="s">
        <v>20</v>
      </c>
      <c r="AH1" s="9" t="s">
        <v>41</v>
      </c>
      <c r="AI1" s="9" t="s">
        <v>43</v>
      </c>
      <c r="AJ1" s="9" t="s">
        <v>44</v>
      </c>
      <c r="AK1" s="9" t="s">
        <v>45</v>
      </c>
      <c r="AL1" s="9" t="s">
        <v>47</v>
      </c>
      <c r="AM1" s="9" t="s">
        <v>51</v>
      </c>
      <c r="AN1" s="9" t="s">
        <v>50</v>
      </c>
    </row>
    <row r="2" spans="1:40">
      <c r="A2" t="s">
        <v>8</v>
      </c>
      <c r="B2" t="s">
        <v>9</v>
      </c>
      <c r="C2">
        <v>21.6</v>
      </c>
      <c r="D2">
        <v>39.5</v>
      </c>
      <c r="E2">
        <v>85.4</v>
      </c>
      <c r="F2">
        <v>28.1</v>
      </c>
      <c r="G2">
        <v>26.4</v>
      </c>
      <c r="H2">
        <v>20.2</v>
      </c>
      <c r="I2">
        <v>31.4</v>
      </c>
      <c r="J2">
        <v>31.2</v>
      </c>
      <c r="K2">
        <v>50.9</v>
      </c>
      <c r="L2">
        <v>74.7</v>
      </c>
      <c r="M2">
        <v>66.3</v>
      </c>
      <c r="N2">
        <v>124.5</v>
      </c>
      <c r="O2">
        <v>136.6</v>
      </c>
      <c r="P2">
        <v>87.5</v>
      </c>
      <c r="Q2">
        <v>107.6</v>
      </c>
      <c r="R2">
        <v>63.8</v>
      </c>
      <c r="S2">
        <v>62.4</v>
      </c>
      <c r="T2">
        <v>176.1</v>
      </c>
      <c r="U2">
        <v>214.5</v>
      </c>
      <c r="V2">
        <v>199.3</v>
      </c>
      <c r="W2">
        <v>252.3</v>
      </c>
      <c r="X2">
        <v>403.6</v>
      </c>
      <c r="Y2">
        <v>243.5</v>
      </c>
      <c r="Z2">
        <v>280.3</v>
      </c>
      <c r="AA2">
        <v>219.8</v>
      </c>
      <c r="AB2">
        <v>209.3</v>
      </c>
      <c r="AC2">
        <v>397.9</v>
      </c>
      <c r="AD2">
        <v>480</v>
      </c>
      <c r="AE2">
        <v>450</v>
      </c>
      <c r="AF2">
        <v>58.6</v>
      </c>
      <c r="AG2">
        <v>66.400000000000006</v>
      </c>
      <c r="AH2">
        <v>338</v>
      </c>
      <c r="AI2">
        <v>280</v>
      </c>
      <c r="AJ2">
        <v>160</v>
      </c>
      <c r="AK2">
        <v>150</v>
      </c>
      <c r="AL2">
        <v>580</v>
      </c>
      <c r="AM2">
        <v>590</v>
      </c>
      <c r="AN2">
        <v>300</v>
      </c>
    </row>
    <row r="3" spans="1:40">
      <c r="A3" t="s">
        <v>8</v>
      </c>
      <c r="B3" t="s">
        <v>10</v>
      </c>
      <c r="C3">
        <v>20.7</v>
      </c>
      <c r="D3">
        <v>56.5</v>
      </c>
      <c r="E3">
        <v>53</v>
      </c>
      <c r="F3">
        <v>24.7</v>
      </c>
      <c r="G3">
        <v>28.6</v>
      </c>
      <c r="H3">
        <v>7.6</v>
      </c>
      <c r="I3">
        <v>30.6</v>
      </c>
      <c r="J3">
        <v>40.799999999999997</v>
      </c>
      <c r="K3">
        <v>46.4</v>
      </c>
      <c r="L3">
        <v>52.8</v>
      </c>
      <c r="M3">
        <v>85.6</v>
      </c>
      <c r="N3">
        <v>80.3</v>
      </c>
      <c r="O3">
        <v>164.8</v>
      </c>
      <c r="P3">
        <v>45.9</v>
      </c>
      <c r="Q3">
        <v>113.2</v>
      </c>
      <c r="R3">
        <v>88.4</v>
      </c>
      <c r="S3">
        <v>72.900000000000006</v>
      </c>
      <c r="T3">
        <v>160.5</v>
      </c>
      <c r="U3">
        <v>201.5</v>
      </c>
      <c r="V3">
        <v>291.8</v>
      </c>
      <c r="W3">
        <v>303.8</v>
      </c>
      <c r="X3">
        <v>307</v>
      </c>
      <c r="Y3">
        <v>361.1</v>
      </c>
      <c r="Z3">
        <v>379</v>
      </c>
      <c r="AA3">
        <v>250.6</v>
      </c>
      <c r="AB3">
        <v>282.2</v>
      </c>
      <c r="AC3">
        <v>489.4</v>
      </c>
      <c r="AD3">
        <v>792</v>
      </c>
      <c r="AE3">
        <v>407</v>
      </c>
      <c r="AF3">
        <v>22.2</v>
      </c>
      <c r="AG3">
        <v>24.4</v>
      </c>
      <c r="AH3">
        <v>566.79999999999995</v>
      </c>
      <c r="AI3">
        <v>504</v>
      </c>
      <c r="AJ3">
        <v>192</v>
      </c>
      <c r="AK3">
        <v>165</v>
      </c>
      <c r="AL3">
        <v>1280</v>
      </c>
      <c r="AM3">
        <v>1180</v>
      </c>
      <c r="AN3">
        <v>400</v>
      </c>
    </row>
    <row r="4" spans="1:40">
      <c r="A4" t="s">
        <v>11</v>
      </c>
      <c r="B4" t="s">
        <v>9</v>
      </c>
      <c r="C4">
        <v>40.9</v>
      </c>
      <c r="D4">
        <v>72.2</v>
      </c>
      <c r="E4">
        <v>58.2</v>
      </c>
      <c r="F4">
        <v>32.5</v>
      </c>
      <c r="G4">
        <v>7.4</v>
      </c>
      <c r="H4">
        <v>18.899999999999999</v>
      </c>
      <c r="I4">
        <v>26.3</v>
      </c>
      <c r="J4">
        <v>20.8</v>
      </c>
      <c r="K4">
        <v>27.8</v>
      </c>
      <c r="L4">
        <v>41.5</v>
      </c>
      <c r="M4">
        <v>46.2</v>
      </c>
      <c r="N4">
        <v>71</v>
      </c>
      <c r="O4">
        <v>64.599999999999994</v>
      </c>
      <c r="P4">
        <v>84</v>
      </c>
      <c r="Q4">
        <v>73.5</v>
      </c>
      <c r="R4">
        <v>26.9</v>
      </c>
      <c r="S4">
        <v>39</v>
      </c>
      <c r="T4">
        <v>60.4</v>
      </c>
      <c r="U4">
        <v>66</v>
      </c>
      <c r="V4">
        <v>85.5</v>
      </c>
      <c r="W4">
        <v>124.9</v>
      </c>
      <c r="X4">
        <v>199.2</v>
      </c>
      <c r="Y4">
        <v>148.9</v>
      </c>
      <c r="Z4">
        <v>218</v>
      </c>
      <c r="AA4">
        <v>216</v>
      </c>
      <c r="AB4">
        <v>165</v>
      </c>
      <c r="AC4">
        <v>251.6</v>
      </c>
      <c r="AD4">
        <v>550</v>
      </c>
      <c r="AE4">
        <v>507.1</v>
      </c>
      <c r="AF4">
        <v>165</v>
      </c>
      <c r="AG4">
        <v>170.8</v>
      </c>
      <c r="AH4">
        <v>213.8</v>
      </c>
      <c r="AI4">
        <v>293.25</v>
      </c>
      <c r="AJ4">
        <v>200</v>
      </c>
      <c r="AK4">
        <v>220</v>
      </c>
      <c r="AL4">
        <v>420</v>
      </c>
      <c r="AM4">
        <v>505</v>
      </c>
      <c r="AN4">
        <v>410</v>
      </c>
    </row>
    <row r="5" spans="1:40">
      <c r="A5" t="s">
        <v>11</v>
      </c>
      <c r="B5" t="s">
        <v>10</v>
      </c>
      <c r="C5">
        <v>42.1</v>
      </c>
      <c r="D5">
        <v>87.6</v>
      </c>
      <c r="E5">
        <v>36.6</v>
      </c>
      <c r="F5">
        <v>14.2</v>
      </c>
      <c r="G5">
        <v>4.2</v>
      </c>
      <c r="H5">
        <v>7.8</v>
      </c>
      <c r="I5">
        <v>13.1</v>
      </c>
      <c r="J5">
        <v>26.4</v>
      </c>
      <c r="K5">
        <v>23.4</v>
      </c>
      <c r="L5">
        <v>33.799999999999997</v>
      </c>
      <c r="M5">
        <v>45.9</v>
      </c>
      <c r="N5">
        <v>56</v>
      </c>
      <c r="O5">
        <v>75.400000000000006</v>
      </c>
      <c r="P5">
        <v>76.099999999999994</v>
      </c>
      <c r="Q5">
        <v>70</v>
      </c>
      <c r="R5">
        <v>32.5</v>
      </c>
      <c r="S5">
        <v>40</v>
      </c>
      <c r="T5">
        <v>60.6</v>
      </c>
      <c r="U5">
        <v>83</v>
      </c>
      <c r="V5">
        <v>126</v>
      </c>
      <c r="W5">
        <v>145.80000000000001</v>
      </c>
      <c r="X5">
        <v>138.9</v>
      </c>
      <c r="Y5">
        <v>220.9</v>
      </c>
      <c r="Z5">
        <v>356.6</v>
      </c>
      <c r="AA5">
        <v>296.3</v>
      </c>
      <c r="AB5">
        <v>201</v>
      </c>
      <c r="AC5">
        <v>370.6</v>
      </c>
      <c r="AD5">
        <v>1150</v>
      </c>
      <c r="AE5">
        <v>467</v>
      </c>
      <c r="AF5">
        <v>117.7</v>
      </c>
      <c r="AG5">
        <v>162.1</v>
      </c>
      <c r="AH5">
        <v>250.9</v>
      </c>
      <c r="AI5">
        <v>500.75</v>
      </c>
      <c r="AJ5">
        <v>292</v>
      </c>
      <c r="AK5">
        <v>280</v>
      </c>
      <c r="AL5">
        <v>950</v>
      </c>
      <c r="AM5">
        <v>975</v>
      </c>
      <c r="AN5">
        <v>650</v>
      </c>
    </row>
    <row r="6" spans="1:40">
      <c r="A6" t="s">
        <v>12</v>
      </c>
      <c r="B6" t="s">
        <v>9</v>
      </c>
      <c r="C6">
        <v>24.498999999999999</v>
      </c>
      <c r="D6">
        <v>57.558</v>
      </c>
      <c r="E6">
        <v>89.620999999999995</v>
      </c>
      <c r="F6">
        <v>78.334999999999994</v>
      </c>
      <c r="G6">
        <v>100.309</v>
      </c>
      <c r="H6">
        <v>143.464</v>
      </c>
      <c r="I6">
        <v>114.962</v>
      </c>
      <c r="J6">
        <v>135.02000000000001</v>
      </c>
      <c r="K6">
        <v>127.033</v>
      </c>
      <c r="L6">
        <v>125.916</v>
      </c>
      <c r="M6">
        <v>27.821999999999999</v>
      </c>
      <c r="N6">
        <v>7.9909999999999997</v>
      </c>
      <c r="O6">
        <v>17.466999999999999</v>
      </c>
      <c r="P6">
        <v>13.754</v>
      </c>
      <c r="Q6">
        <v>11.327</v>
      </c>
      <c r="R6">
        <v>15.183999999999999</v>
      </c>
      <c r="S6">
        <v>24.326000000000001</v>
      </c>
      <c r="T6">
        <v>42.438000000000002</v>
      </c>
      <c r="U6">
        <v>17</v>
      </c>
      <c r="V6">
        <v>44.003999999999998</v>
      </c>
      <c r="W6">
        <v>38.677</v>
      </c>
      <c r="X6">
        <v>35.786999999999999</v>
      </c>
      <c r="Y6">
        <v>47.94</v>
      </c>
      <c r="Z6">
        <v>49</v>
      </c>
      <c r="AA6">
        <v>48</v>
      </c>
      <c r="AB6">
        <v>26.4</v>
      </c>
      <c r="AC6">
        <v>13.332000000000001</v>
      </c>
      <c r="AD6">
        <v>16</v>
      </c>
      <c r="AE6">
        <v>77.141999999999996</v>
      </c>
      <c r="AF6">
        <v>33.194000000000003</v>
      </c>
      <c r="AG6">
        <v>37.823</v>
      </c>
      <c r="AH6">
        <v>36.106000000000002</v>
      </c>
      <c r="AI6">
        <v>30</v>
      </c>
      <c r="AJ6">
        <v>25</v>
      </c>
      <c r="AK6">
        <v>25</v>
      </c>
      <c r="AL6">
        <v>24</v>
      </c>
      <c r="AM6">
        <v>8</v>
      </c>
      <c r="AN6">
        <v>6</v>
      </c>
    </row>
    <row r="7" spans="1:40">
      <c r="A7" t="s">
        <v>12</v>
      </c>
      <c r="B7" t="s">
        <v>10</v>
      </c>
      <c r="C7">
        <v>38.305</v>
      </c>
      <c r="D7">
        <v>36.250999999999998</v>
      </c>
      <c r="E7">
        <v>112.544</v>
      </c>
      <c r="F7">
        <v>127.499</v>
      </c>
      <c r="G7">
        <v>146.23400000000001</v>
      </c>
      <c r="H7">
        <v>37.466999999999999</v>
      </c>
      <c r="I7">
        <v>199.595</v>
      </c>
      <c r="J7">
        <v>171.911</v>
      </c>
      <c r="K7">
        <v>74.893000000000001</v>
      </c>
      <c r="L7">
        <v>44.616999999999997</v>
      </c>
      <c r="M7">
        <v>22.83</v>
      </c>
      <c r="N7">
        <v>7.593</v>
      </c>
      <c r="O7">
        <v>24.027999999999999</v>
      </c>
      <c r="P7">
        <v>1.464</v>
      </c>
      <c r="Q7">
        <v>9.2469999999999999</v>
      </c>
      <c r="R7">
        <v>11.157</v>
      </c>
      <c r="S7">
        <v>31.384</v>
      </c>
      <c r="T7">
        <v>5.4509999999999996</v>
      </c>
      <c r="U7">
        <v>19</v>
      </c>
      <c r="V7">
        <v>16.89</v>
      </c>
      <c r="W7">
        <v>25.163</v>
      </c>
      <c r="X7">
        <v>50.072000000000003</v>
      </c>
      <c r="Y7">
        <v>71.558999999999997</v>
      </c>
      <c r="Z7">
        <v>52.2</v>
      </c>
      <c r="AA7">
        <v>49.5</v>
      </c>
      <c r="AB7">
        <v>52.2</v>
      </c>
      <c r="AC7">
        <v>3.4649999999999999</v>
      </c>
      <c r="AD7">
        <v>28</v>
      </c>
      <c r="AE7">
        <v>78.322999999999993</v>
      </c>
      <c r="AF7">
        <v>24.442</v>
      </c>
      <c r="AG7">
        <v>25.542999999999999</v>
      </c>
      <c r="AH7">
        <v>38.448</v>
      </c>
      <c r="AI7">
        <v>40</v>
      </c>
      <c r="AJ7">
        <v>40</v>
      </c>
      <c r="AK7">
        <v>30</v>
      </c>
      <c r="AL7">
        <v>22</v>
      </c>
      <c r="AM7">
        <v>11</v>
      </c>
      <c r="AN7">
        <v>7.02</v>
      </c>
    </row>
    <row r="8" spans="1:40">
      <c r="A8" t="s">
        <v>13</v>
      </c>
      <c r="B8" t="s">
        <v>9</v>
      </c>
      <c r="C8">
        <v>5.8</v>
      </c>
      <c r="D8">
        <v>8.1999999999999993</v>
      </c>
      <c r="E8">
        <v>16.399999999999999</v>
      </c>
      <c r="F8">
        <v>11.9</v>
      </c>
      <c r="G8">
        <v>9.3000000000000007</v>
      </c>
      <c r="H8">
        <v>12.9</v>
      </c>
      <c r="I8">
        <v>12.3</v>
      </c>
      <c r="J8">
        <v>11.8</v>
      </c>
      <c r="K8">
        <v>11.7</v>
      </c>
      <c r="L8">
        <v>15.5</v>
      </c>
      <c r="M8">
        <v>6.2</v>
      </c>
      <c r="N8">
        <v>1.2</v>
      </c>
      <c r="O8">
        <v>0.7</v>
      </c>
      <c r="P8">
        <v>4.0999999999999996</v>
      </c>
      <c r="Q8">
        <v>4.3</v>
      </c>
      <c r="R8">
        <v>0.8</v>
      </c>
      <c r="S8">
        <v>2</v>
      </c>
      <c r="T8">
        <v>3.4</v>
      </c>
      <c r="U8">
        <v>7.7</v>
      </c>
      <c r="V8">
        <v>6.1</v>
      </c>
      <c r="W8">
        <v>9.8000000000000007</v>
      </c>
      <c r="X8">
        <v>8.1</v>
      </c>
      <c r="Y8">
        <v>11</v>
      </c>
      <c r="Z8">
        <v>20.3</v>
      </c>
      <c r="AA8">
        <v>19</v>
      </c>
      <c r="AB8">
        <v>21.1</v>
      </c>
      <c r="AC8">
        <v>10.9</v>
      </c>
      <c r="AD8">
        <v>19</v>
      </c>
      <c r="AE8">
        <v>33.9</v>
      </c>
      <c r="AF8">
        <v>26.5</v>
      </c>
      <c r="AG8">
        <v>21.4</v>
      </c>
      <c r="AH8">
        <v>10.1</v>
      </c>
      <c r="AI8">
        <v>8</v>
      </c>
      <c r="AJ8">
        <v>8</v>
      </c>
      <c r="AK8">
        <v>10</v>
      </c>
      <c r="AL8">
        <v>10</v>
      </c>
      <c r="AM8">
        <v>11</v>
      </c>
      <c r="AN8">
        <v>11</v>
      </c>
    </row>
    <row r="9" spans="1:40">
      <c r="A9" t="s">
        <v>13</v>
      </c>
      <c r="B9" t="s">
        <v>10</v>
      </c>
      <c r="C9">
        <v>7.5</v>
      </c>
      <c r="D9">
        <v>10</v>
      </c>
      <c r="E9">
        <v>19.8</v>
      </c>
      <c r="F9">
        <v>9</v>
      </c>
      <c r="G9">
        <v>10.6</v>
      </c>
      <c r="H9">
        <v>7.9</v>
      </c>
      <c r="I9">
        <v>17.3</v>
      </c>
      <c r="J9">
        <v>16.8</v>
      </c>
      <c r="K9">
        <v>16.7</v>
      </c>
      <c r="L9">
        <v>13.4</v>
      </c>
      <c r="M9">
        <v>4.9000000000000004</v>
      </c>
      <c r="N9">
        <v>0.9</v>
      </c>
      <c r="O9">
        <v>1</v>
      </c>
      <c r="P9">
        <v>2</v>
      </c>
      <c r="Q9">
        <v>3.7</v>
      </c>
      <c r="R9">
        <v>0.6</v>
      </c>
      <c r="S9">
        <v>2</v>
      </c>
      <c r="T9">
        <v>1.1000000000000001</v>
      </c>
      <c r="U9">
        <v>9.3000000000000007</v>
      </c>
      <c r="V9">
        <v>3.9</v>
      </c>
      <c r="W9">
        <v>9.4</v>
      </c>
      <c r="X9">
        <v>14.1</v>
      </c>
      <c r="Y9">
        <v>14</v>
      </c>
      <c r="Z9">
        <v>21.5</v>
      </c>
      <c r="AA9">
        <v>27</v>
      </c>
      <c r="AB9">
        <v>16</v>
      </c>
      <c r="AC9">
        <v>7.1</v>
      </c>
      <c r="AD9">
        <v>27</v>
      </c>
      <c r="AE9">
        <v>38.4</v>
      </c>
      <c r="AF9">
        <v>26.6</v>
      </c>
      <c r="AG9">
        <v>18.100000000000001</v>
      </c>
      <c r="AH9">
        <v>13</v>
      </c>
      <c r="AI9">
        <v>11</v>
      </c>
      <c r="AJ9">
        <v>10</v>
      </c>
      <c r="AK9">
        <v>12</v>
      </c>
      <c r="AL9">
        <v>9</v>
      </c>
      <c r="AM9">
        <v>13.5</v>
      </c>
      <c r="AN9">
        <v>13.1</v>
      </c>
    </row>
    <row r="10" spans="1:40">
      <c r="A10" t="s">
        <v>14</v>
      </c>
      <c r="B10" t="s">
        <v>9</v>
      </c>
      <c r="C10">
        <v>0.30599999999999999</v>
      </c>
      <c r="D10">
        <v>0.7</v>
      </c>
      <c r="E10">
        <v>0</v>
      </c>
      <c r="F10">
        <v>1</v>
      </c>
      <c r="G10">
        <v>3.4239999999999999</v>
      </c>
      <c r="H10">
        <v>13.403</v>
      </c>
      <c r="I10">
        <v>31.437000000000001</v>
      </c>
      <c r="J10">
        <v>42.567</v>
      </c>
      <c r="K10">
        <v>55.698</v>
      </c>
      <c r="L10">
        <v>50.941000000000003</v>
      </c>
      <c r="M10">
        <v>71.48</v>
      </c>
      <c r="N10">
        <v>56.975999999999999</v>
      </c>
      <c r="O10">
        <v>25.59</v>
      </c>
      <c r="P10">
        <v>11.835000000000001</v>
      </c>
      <c r="Q10">
        <v>4.1109999999999998</v>
      </c>
      <c r="R10">
        <v>3.49</v>
      </c>
      <c r="S10">
        <v>3.762</v>
      </c>
      <c r="T10">
        <v>1.74</v>
      </c>
      <c r="U10">
        <v>0.8</v>
      </c>
      <c r="V10">
        <v>3.343</v>
      </c>
      <c r="W10">
        <v>3.26</v>
      </c>
      <c r="X10">
        <v>6.4269999999999996</v>
      </c>
      <c r="Y10">
        <v>4.7210000000000001</v>
      </c>
      <c r="Z10">
        <v>6</v>
      </c>
      <c r="AA10">
        <v>5</v>
      </c>
      <c r="AB10">
        <v>3</v>
      </c>
      <c r="AC10">
        <v>3.5030000000000001</v>
      </c>
      <c r="AD10">
        <v>4</v>
      </c>
      <c r="AE10">
        <v>7</v>
      </c>
      <c r="AF10">
        <v>10.742000000000001</v>
      </c>
      <c r="AG10">
        <v>12.817</v>
      </c>
      <c r="AH10">
        <v>8.4260000000000002</v>
      </c>
      <c r="AI10">
        <v>4.5</v>
      </c>
      <c r="AJ10">
        <v>4.5</v>
      </c>
      <c r="AK10">
        <v>4</v>
      </c>
      <c r="AL10">
        <v>4.5</v>
      </c>
      <c r="AM10">
        <v>4.5</v>
      </c>
      <c r="AN10">
        <v>5</v>
      </c>
    </row>
    <row r="11" spans="1:40">
      <c r="A11" t="s">
        <v>14</v>
      </c>
      <c r="B11" t="s">
        <v>10</v>
      </c>
      <c r="C11">
        <v>0.77700000000000002</v>
      </c>
      <c r="D11">
        <v>1.4</v>
      </c>
      <c r="E11">
        <v>0</v>
      </c>
      <c r="F11">
        <v>1.6</v>
      </c>
      <c r="G11">
        <v>3.4009999999999998</v>
      </c>
      <c r="H11">
        <v>8.1359999999999992</v>
      </c>
      <c r="I11">
        <v>26.292999999999999</v>
      </c>
      <c r="J11">
        <v>31.81</v>
      </c>
      <c r="K11">
        <v>37.216000000000001</v>
      </c>
      <c r="L11">
        <v>42.905999999999999</v>
      </c>
      <c r="M11">
        <v>70.724999999999994</v>
      </c>
      <c r="N11">
        <v>17.753</v>
      </c>
      <c r="O11">
        <v>8.2759999999999998</v>
      </c>
      <c r="P11">
        <v>3.2730000000000001</v>
      </c>
      <c r="Q11">
        <v>2.754</v>
      </c>
      <c r="R11">
        <v>2.5569999999999999</v>
      </c>
      <c r="S11">
        <v>3.46</v>
      </c>
      <c r="T11">
        <v>1.5429999999999999</v>
      </c>
      <c r="U11">
        <v>0.2</v>
      </c>
      <c r="V11">
        <v>3.9580000000000002</v>
      </c>
      <c r="W11">
        <v>2.931</v>
      </c>
      <c r="X11">
        <v>3.2610000000000001</v>
      </c>
      <c r="Y11">
        <v>5.8129999999999997</v>
      </c>
      <c r="Z11">
        <v>4</v>
      </c>
      <c r="AA11">
        <v>6</v>
      </c>
      <c r="AB11">
        <v>4</v>
      </c>
      <c r="AC11">
        <v>3.9220000000000002</v>
      </c>
      <c r="AD11">
        <v>7</v>
      </c>
      <c r="AE11">
        <v>7.5</v>
      </c>
      <c r="AF11">
        <v>14.255000000000001</v>
      </c>
      <c r="AG11">
        <v>5.1159999999999997</v>
      </c>
      <c r="AH11">
        <v>7.3630000000000004</v>
      </c>
      <c r="AI11">
        <v>6.5</v>
      </c>
      <c r="AJ11">
        <v>7</v>
      </c>
      <c r="AK11">
        <v>4.2</v>
      </c>
      <c r="AL11">
        <v>6</v>
      </c>
      <c r="AM11">
        <v>5</v>
      </c>
      <c r="AN11">
        <v>6.4939999999999998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24273-7C44-4464-8BC0-E7A0FBC4A102}">
  <dimension ref="A1:AN11"/>
  <sheetViews>
    <sheetView topLeftCell="AA1" workbookViewId="0">
      <selection activeCell="AJ1" sqref="AJ1"/>
    </sheetView>
  </sheetViews>
  <sheetFormatPr defaultRowHeight="14.4"/>
  <cols>
    <col min="2" max="2" width="10.21875" customWidth="1"/>
    <col min="3" max="35" width="9.88671875" customWidth="1"/>
    <col min="36" max="39" width="11.109375" customWidth="1"/>
    <col min="40" max="40" width="11" customWidth="1"/>
  </cols>
  <sheetData>
    <row r="1" spans="1:40">
      <c r="A1" s="9" t="s">
        <v>0</v>
      </c>
      <c r="B1" s="9" t="s">
        <v>1</v>
      </c>
      <c r="C1" s="9" t="s">
        <v>23</v>
      </c>
      <c r="D1" s="9" t="s">
        <v>24</v>
      </c>
      <c r="E1" s="9" t="s">
        <v>25</v>
      </c>
      <c r="F1" s="9" t="s">
        <v>26</v>
      </c>
      <c r="G1" s="9" t="s">
        <v>27</v>
      </c>
      <c r="H1" s="9" t="s">
        <v>28</v>
      </c>
      <c r="I1" s="9" t="s">
        <v>29</v>
      </c>
      <c r="J1" s="9" t="s">
        <v>30</v>
      </c>
      <c r="K1" s="9" t="s">
        <v>31</v>
      </c>
      <c r="L1" s="9" t="s">
        <v>32</v>
      </c>
      <c r="M1" s="9" t="s">
        <v>33</v>
      </c>
      <c r="N1" s="9" t="s">
        <v>34</v>
      </c>
      <c r="O1" s="9" t="s">
        <v>35</v>
      </c>
      <c r="P1" s="9" t="s">
        <v>36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2</v>
      </c>
      <c r="V1" s="9" t="s">
        <v>3</v>
      </c>
      <c r="W1" s="9" t="s">
        <v>4</v>
      </c>
      <c r="X1" s="9" t="s">
        <v>5</v>
      </c>
      <c r="Y1" s="9" t="s">
        <v>37</v>
      </c>
      <c r="Z1" s="9" t="s">
        <v>38</v>
      </c>
      <c r="AA1" s="9" t="s">
        <v>6</v>
      </c>
      <c r="AB1" s="9" t="s">
        <v>7</v>
      </c>
      <c r="AC1" s="9" t="s">
        <v>39</v>
      </c>
      <c r="AD1" s="9" t="s">
        <v>40</v>
      </c>
      <c r="AE1" s="9" t="s">
        <v>21</v>
      </c>
      <c r="AF1" s="9" t="s">
        <v>22</v>
      </c>
      <c r="AG1" s="9" t="s">
        <v>20</v>
      </c>
      <c r="AH1" s="9" t="s">
        <v>41</v>
      </c>
      <c r="AI1" s="9" t="s">
        <v>43</v>
      </c>
      <c r="AJ1" s="9" t="s">
        <v>44</v>
      </c>
      <c r="AK1" s="9" t="s">
        <v>45</v>
      </c>
      <c r="AL1" s="9" t="s">
        <v>47</v>
      </c>
      <c r="AM1" s="9" t="s">
        <v>51</v>
      </c>
      <c r="AN1" s="9" t="s">
        <v>50</v>
      </c>
    </row>
    <row r="2" spans="1:40">
      <c r="A2" t="s">
        <v>12</v>
      </c>
      <c r="B2" t="s">
        <v>9</v>
      </c>
      <c r="C2">
        <v>20</v>
      </c>
      <c r="D2">
        <v>20</v>
      </c>
      <c r="E2">
        <v>30</v>
      </c>
      <c r="F2">
        <v>37</v>
      </c>
      <c r="G2">
        <v>44.78</v>
      </c>
      <c r="H2">
        <v>36.164999999999999</v>
      </c>
      <c r="I2">
        <v>23.07</v>
      </c>
      <c r="J2">
        <v>34.576000000000001</v>
      </c>
      <c r="K2">
        <v>47.119</v>
      </c>
      <c r="L2">
        <v>41.99</v>
      </c>
      <c r="M2">
        <v>40</v>
      </c>
      <c r="N2">
        <v>67.009</v>
      </c>
      <c r="O2">
        <v>55</v>
      </c>
      <c r="P2">
        <v>50</v>
      </c>
      <c r="Q2">
        <v>50</v>
      </c>
      <c r="R2">
        <v>60</v>
      </c>
      <c r="S2">
        <v>55</v>
      </c>
      <c r="T2">
        <v>61.176000000000002</v>
      </c>
      <c r="U2">
        <v>34</v>
      </c>
      <c r="V2">
        <v>36.323999999999998</v>
      </c>
      <c r="W2">
        <v>22</v>
      </c>
      <c r="X2">
        <v>63.037999999999997</v>
      </c>
      <c r="Y2">
        <v>49</v>
      </c>
      <c r="Z2">
        <v>67</v>
      </c>
      <c r="AA2">
        <v>58.5</v>
      </c>
      <c r="AB2">
        <v>62.4</v>
      </c>
      <c r="AC2">
        <v>74.453999999999994</v>
      </c>
      <c r="AD2">
        <v>120</v>
      </c>
      <c r="AE2">
        <v>147.27199999999999</v>
      </c>
      <c r="AF2">
        <v>116.179</v>
      </c>
      <c r="AG2">
        <v>100.206</v>
      </c>
      <c r="AH2">
        <v>118.017</v>
      </c>
      <c r="AI2">
        <v>110</v>
      </c>
      <c r="AJ2">
        <v>110</v>
      </c>
      <c r="AK2">
        <v>100</v>
      </c>
      <c r="AL2">
        <v>120</v>
      </c>
      <c r="AM2">
        <v>130</v>
      </c>
      <c r="AN2">
        <v>133</v>
      </c>
    </row>
    <row r="3" spans="1:40">
      <c r="A3" t="s">
        <v>12</v>
      </c>
      <c r="B3" t="s">
        <v>10</v>
      </c>
      <c r="C3">
        <v>20</v>
      </c>
      <c r="D3">
        <v>20</v>
      </c>
      <c r="E3">
        <v>25</v>
      </c>
      <c r="F3">
        <v>40</v>
      </c>
      <c r="G3">
        <v>65.41</v>
      </c>
      <c r="H3">
        <v>17.431000000000001</v>
      </c>
      <c r="I3">
        <v>44.186</v>
      </c>
      <c r="J3">
        <v>61.228999999999999</v>
      </c>
      <c r="K3">
        <v>41.046999999999997</v>
      </c>
      <c r="L3">
        <v>60.323</v>
      </c>
      <c r="M3">
        <v>58</v>
      </c>
      <c r="N3">
        <v>104.175</v>
      </c>
      <c r="O3">
        <v>95</v>
      </c>
      <c r="P3">
        <v>5</v>
      </c>
      <c r="Q3">
        <v>90</v>
      </c>
      <c r="R3">
        <v>20</v>
      </c>
      <c r="S3">
        <v>76</v>
      </c>
      <c r="T3">
        <v>4.992</v>
      </c>
      <c r="U3">
        <v>32</v>
      </c>
      <c r="V3">
        <v>27.14</v>
      </c>
      <c r="W3">
        <v>35</v>
      </c>
      <c r="X3">
        <v>104.23099999999999</v>
      </c>
      <c r="Y3">
        <v>99</v>
      </c>
      <c r="Z3">
        <v>126.3</v>
      </c>
      <c r="AA3">
        <v>126.6</v>
      </c>
      <c r="AB3">
        <v>112</v>
      </c>
      <c r="AC3">
        <v>57.279000000000003</v>
      </c>
      <c r="AD3">
        <v>220</v>
      </c>
      <c r="AE3">
        <v>195.80699999999999</v>
      </c>
      <c r="AF3">
        <v>67.215999999999994</v>
      </c>
      <c r="AG3">
        <v>158.709</v>
      </c>
      <c r="AH3">
        <v>287.04700000000003</v>
      </c>
      <c r="AI3">
        <v>233.75</v>
      </c>
      <c r="AJ3">
        <v>250</v>
      </c>
      <c r="AK3">
        <v>190</v>
      </c>
      <c r="AL3">
        <v>180</v>
      </c>
      <c r="AM3">
        <v>300</v>
      </c>
      <c r="AN3">
        <v>268.66000000000003</v>
      </c>
    </row>
    <row r="4" spans="1:40">
      <c r="A4" t="s">
        <v>14</v>
      </c>
      <c r="B4" t="s">
        <v>9</v>
      </c>
      <c r="C4">
        <v>0</v>
      </c>
      <c r="D4">
        <v>0</v>
      </c>
      <c r="E4">
        <v>0</v>
      </c>
      <c r="F4">
        <v>2</v>
      </c>
      <c r="G4">
        <v>3.72</v>
      </c>
      <c r="H4">
        <v>23.468</v>
      </c>
      <c r="I4">
        <v>19.170000000000002</v>
      </c>
      <c r="J4">
        <v>21.637</v>
      </c>
      <c r="K4">
        <v>37.817</v>
      </c>
      <c r="L4">
        <v>17.959</v>
      </c>
      <c r="M4">
        <v>10</v>
      </c>
      <c r="N4">
        <v>13.425000000000001</v>
      </c>
      <c r="O4">
        <v>13</v>
      </c>
      <c r="P4">
        <v>7</v>
      </c>
      <c r="Q4">
        <v>7</v>
      </c>
      <c r="R4">
        <v>7.5</v>
      </c>
      <c r="S4">
        <v>6</v>
      </c>
      <c r="T4">
        <v>4.7569999999999997</v>
      </c>
      <c r="U4">
        <v>2</v>
      </c>
      <c r="V4">
        <v>2.331</v>
      </c>
      <c r="W4">
        <v>3.5</v>
      </c>
      <c r="X4">
        <v>5.569</v>
      </c>
      <c r="Y4">
        <v>2.5</v>
      </c>
      <c r="Z4">
        <v>3.5</v>
      </c>
      <c r="AA4">
        <v>4</v>
      </c>
      <c r="AB4">
        <v>4</v>
      </c>
      <c r="AC4">
        <v>2.5680000000000001</v>
      </c>
      <c r="AD4">
        <v>4.7</v>
      </c>
      <c r="AE4">
        <v>17</v>
      </c>
      <c r="AF4">
        <v>14.77</v>
      </c>
      <c r="AG4">
        <v>9.14</v>
      </c>
      <c r="AH4">
        <v>14.984999999999999</v>
      </c>
      <c r="AI4">
        <v>8.5</v>
      </c>
      <c r="AJ4">
        <v>10</v>
      </c>
      <c r="AK4">
        <v>8</v>
      </c>
      <c r="AL4">
        <v>12</v>
      </c>
      <c r="AM4">
        <v>20</v>
      </c>
      <c r="AN4">
        <v>25</v>
      </c>
    </row>
    <row r="5" spans="1:40">
      <c r="A5" t="s">
        <v>14</v>
      </c>
      <c r="B5" t="s">
        <v>10</v>
      </c>
      <c r="C5">
        <v>0</v>
      </c>
      <c r="D5">
        <v>0</v>
      </c>
      <c r="E5">
        <v>0</v>
      </c>
      <c r="F5">
        <v>2</v>
      </c>
      <c r="G5">
        <v>5.8310000000000004</v>
      </c>
      <c r="H5">
        <v>12.036</v>
      </c>
      <c r="I5">
        <v>20.225999999999999</v>
      </c>
      <c r="J5">
        <v>21.306999999999999</v>
      </c>
      <c r="K5">
        <v>27.134</v>
      </c>
      <c r="L5">
        <v>15.819000000000001</v>
      </c>
      <c r="M5">
        <v>10</v>
      </c>
      <c r="N5">
        <v>7.0049999999999999</v>
      </c>
      <c r="O5">
        <v>10</v>
      </c>
      <c r="P5">
        <v>2</v>
      </c>
      <c r="Q5">
        <v>10</v>
      </c>
      <c r="R5">
        <v>7.5</v>
      </c>
      <c r="S5">
        <v>8</v>
      </c>
      <c r="T5">
        <v>2.6379999999999999</v>
      </c>
      <c r="U5">
        <v>2.5</v>
      </c>
      <c r="V5">
        <v>3.5640000000000001</v>
      </c>
      <c r="W5">
        <v>5</v>
      </c>
      <c r="X5">
        <v>4.4569999999999999</v>
      </c>
      <c r="Y5">
        <v>3.5</v>
      </c>
      <c r="Z5">
        <v>5.9</v>
      </c>
      <c r="AA5">
        <v>9.1999999999999993</v>
      </c>
      <c r="AB5">
        <v>6.7</v>
      </c>
      <c r="AC5">
        <v>4.0170000000000003</v>
      </c>
      <c r="AD5">
        <v>11</v>
      </c>
      <c r="AE5">
        <v>20</v>
      </c>
      <c r="AF5">
        <v>26.135000000000002</v>
      </c>
      <c r="AG5">
        <v>10.393000000000001</v>
      </c>
      <c r="AH5">
        <v>17.88</v>
      </c>
      <c r="AI5">
        <v>15</v>
      </c>
      <c r="AJ5">
        <v>19</v>
      </c>
      <c r="AK5">
        <v>12.2</v>
      </c>
      <c r="AL5">
        <v>22.5</v>
      </c>
      <c r="AM5">
        <v>40</v>
      </c>
      <c r="AN5">
        <v>45.323999999999998</v>
      </c>
    </row>
    <row r="6" spans="1:40">
      <c r="A6" t="s">
        <v>13</v>
      </c>
      <c r="B6" t="s">
        <v>9</v>
      </c>
      <c r="C6">
        <v>21.8</v>
      </c>
      <c r="D6">
        <v>20</v>
      </c>
      <c r="E6">
        <v>19.350000000000001</v>
      </c>
      <c r="F6">
        <v>27</v>
      </c>
      <c r="G6">
        <v>34.619999999999997</v>
      </c>
      <c r="H6">
        <v>31.920999999999999</v>
      </c>
      <c r="I6">
        <v>26.03</v>
      </c>
      <c r="J6">
        <v>31.45</v>
      </c>
      <c r="K6">
        <v>44.994999999999997</v>
      </c>
      <c r="L6">
        <v>45.683</v>
      </c>
      <c r="M6">
        <v>53.25</v>
      </c>
      <c r="N6">
        <v>79.533000000000001</v>
      </c>
      <c r="O6">
        <v>75</v>
      </c>
      <c r="P6">
        <v>83</v>
      </c>
      <c r="Q6">
        <v>83</v>
      </c>
      <c r="R6">
        <v>87</v>
      </c>
      <c r="S6">
        <v>89</v>
      </c>
      <c r="T6">
        <v>80.489000000000004</v>
      </c>
      <c r="U6">
        <v>87</v>
      </c>
      <c r="V6">
        <v>57.566000000000003</v>
      </c>
      <c r="W6">
        <v>57</v>
      </c>
      <c r="X6">
        <v>60.408999999999999</v>
      </c>
      <c r="Y6">
        <v>55</v>
      </c>
      <c r="Z6">
        <v>78</v>
      </c>
      <c r="AA6">
        <v>61</v>
      </c>
      <c r="AB6">
        <v>61.8</v>
      </c>
      <c r="AC6">
        <v>74.402000000000001</v>
      </c>
      <c r="AD6">
        <v>72</v>
      </c>
      <c r="AE6">
        <v>82.566000000000003</v>
      </c>
      <c r="AF6">
        <v>89.984999999999999</v>
      </c>
      <c r="AG6">
        <v>85.406999999999996</v>
      </c>
      <c r="AH6">
        <v>92.308000000000007</v>
      </c>
      <c r="AI6">
        <v>95</v>
      </c>
      <c r="AJ6">
        <v>120</v>
      </c>
      <c r="AK6">
        <v>110</v>
      </c>
      <c r="AL6">
        <v>90</v>
      </c>
      <c r="AM6">
        <v>100</v>
      </c>
      <c r="AN6">
        <v>100</v>
      </c>
    </row>
    <row r="7" spans="1:40">
      <c r="A7" t="s">
        <v>13</v>
      </c>
      <c r="B7" t="s">
        <v>10</v>
      </c>
      <c r="C7">
        <v>34</v>
      </c>
      <c r="D7">
        <v>26.9</v>
      </c>
      <c r="E7">
        <v>28.4</v>
      </c>
      <c r="F7">
        <v>29</v>
      </c>
      <c r="G7">
        <v>55.155999999999999</v>
      </c>
      <c r="H7">
        <v>30.498999999999999</v>
      </c>
      <c r="I7">
        <v>50.966999999999999</v>
      </c>
      <c r="J7">
        <v>69.525999999999996</v>
      </c>
      <c r="K7">
        <v>63.817</v>
      </c>
      <c r="L7">
        <v>89.046999999999997</v>
      </c>
      <c r="M7">
        <v>73.55</v>
      </c>
      <c r="N7">
        <v>150.952</v>
      </c>
      <c r="O7">
        <v>175</v>
      </c>
      <c r="P7">
        <v>83</v>
      </c>
      <c r="Q7">
        <v>160</v>
      </c>
      <c r="R7">
        <v>70</v>
      </c>
      <c r="S7">
        <v>175</v>
      </c>
      <c r="T7">
        <v>41.777999999999999</v>
      </c>
      <c r="U7">
        <v>95</v>
      </c>
      <c r="V7">
        <v>68.488</v>
      </c>
      <c r="W7">
        <v>110</v>
      </c>
      <c r="X7">
        <v>150.1</v>
      </c>
      <c r="Y7">
        <v>95</v>
      </c>
      <c r="Z7">
        <v>121.6</v>
      </c>
      <c r="AA7">
        <v>121.3</v>
      </c>
      <c r="AB7">
        <v>83.4</v>
      </c>
      <c r="AC7">
        <v>84.366</v>
      </c>
      <c r="AD7">
        <v>160</v>
      </c>
      <c r="AE7">
        <v>131.661</v>
      </c>
      <c r="AF7">
        <v>127.55200000000001</v>
      </c>
      <c r="AG7">
        <v>121.34399999999999</v>
      </c>
      <c r="AH7">
        <v>244.64699999999999</v>
      </c>
      <c r="AI7">
        <v>230</v>
      </c>
      <c r="AJ7">
        <v>300</v>
      </c>
      <c r="AK7">
        <v>250</v>
      </c>
      <c r="AL7">
        <v>110</v>
      </c>
      <c r="AM7">
        <v>222</v>
      </c>
      <c r="AN7">
        <v>212.72</v>
      </c>
    </row>
    <row r="8" spans="1:40">
      <c r="A8" t="s">
        <v>8</v>
      </c>
      <c r="B8" t="s">
        <v>9</v>
      </c>
      <c r="C8">
        <v>2.4</v>
      </c>
      <c r="D8">
        <v>3.5</v>
      </c>
      <c r="E8">
        <v>8.75</v>
      </c>
      <c r="F8">
        <v>16</v>
      </c>
      <c r="G8">
        <v>10.393000000000001</v>
      </c>
      <c r="H8">
        <v>7.6470000000000002</v>
      </c>
      <c r="I8">
        <v>10.237</v>
      </c>
      <c r="J8">
        <v>9.1280000000000001</v>
      </c>
      <c r="K8">
        <v>21.337</v>
      </c>
      <c r="L8">
        <v>25.584</v>
      </c>
      <c r="M8">
        <v>22</v>
      </c>
      <c r="N8">
        <v>44.107999999999997</v>
      </c>
      <c r="O8">
        <v>37</v>
      </c>
      <c r="P8">
        <v>17</v>
      </c>
      <c r="Q8">
        <v>15</v>
      </c>
      <c r="R8">
        <v>40</v>
      </c>
      <c r="S8">
        <v>33</v>
      </c>
      <c r="T8">
        <v>38.07</v>
      </c>
      <c r="U8">
        <v>9.5</v>
      </c>
      <c r="V8">
        <v>28.896999999999998</v>
      </c>
      <c r="W8">
        <v>44.5</v>
      </c>
      <c r="X8">
        <v>32.884999999999998</v>
      </c>
      <c r="Y8">
        <v>42.8</v>
      </c>
      <c r="Z8">
        <v>54.4</v>
      </c>
      <c r="AA8">
        <v>28.6</v>
      </c>
      <c r="AB8">
        <v>32.700000000000003</v>
      </c>
      <c r="AC8">
        <v>62.671999999999997</v>
      </c>
      <c r="AD8">
        <v>30</v>
      </c>
      <c r="AE8">
        <v>60.99</v>
      </c>
      <c r="AF8">
        <v>9.6050000000000004</v>
      </c>
      <c r="AG8">
        <v>15.727</v>
      </c>
      <c r="AH8">
        <v>48.052999999999997</v>
      </c>
      <c r="AI8">
        <v>40</v>
      </c>
      <c r="AJ8">
        <v>70</v>
      </c>
      <c r="AK8">
        <v>110</v>
      </c>
      <c r="AL8">
        <v>160</v>
      </c>
      <c r="AM8">
        <v>175</v>
      </c>
      <c r="AN8">
        <v>170</v>
      </c>
    </row>
    <row r="9" spans="1:40">
      <c r="A9" t="s">
        <v>8</v>
      </c>
      <c r="B9" t="s">
        <v>10</v>
      </c>
      <c r="C9">
        <v>3.9</v>
      </c>
      <c r="D9">
        <v>6.2</v>
      </c>
      <c r="E9">
        <v>11</v>
      </c>
      <c r="F9">
        <v>28</v>
      </c>
      <c r="G9">
        <v>21.782</v>
      </c>
      <c r="H9">
        <v>6.5629999999999997</v>
      </c>
      <c r="I9">
        <v>10.119999999999999</v>
      </c>
      <c r="J9">
        <v>18.465</v>
      </c>
      <c r="K9">
        <v>27.177</v>
      </c>
      <c r="L9">
        <v>26.228000000000002</v>
      </c>
      <c r="M9">
        <v>24.2</v>
      </c>
      <c r="N9">
        <v>60.744999999999997</v>
      </c>
      <c r="O9">
        <v>70</v>
      </c>
      <c r="P9">
        <v>18</v>
      </c>
      <c r="Q9">
        <v>17</v>
      </c>
      <c r="R9">
        <v>70</v>
      </c>
      <c r="S9">
        <v>70</v>
      </c>
      <c r="T9">
        <v>54.264000000000003</v>
      </c>
      <c r="U9">
        <v>8.5</v>
      </c>
      <c r="V9">
        <v>35.082000000000001</v>
      </c>
      <c r="W9">
        <v>64.8</v>
      </c>
      <c r="X9">
        <v>64.652000000000001</v>
      </c>
      <c r="Y9">
        <v>67.349999999999994</v>
      </c>
      <c r="Z9">
        <v>123.4</v>
      </c>
      <c r="AA9">
        <v>70.599999999999994</v>
      </c>
      <c r="AB9">
        <v>76.8</v>
      </c>
      <c r="AC9">
        <v>143.43799999999999</v>
      </c>
      <c r="AD9">
        <v>78</v>
      </c>
      <c r="AE9">
        <v>63.28</v>
      </c>
      <c r="AF9">
        <v>7.923</v>
      </c>
      <c r="AG9">
        <v>14.599</v>
      </c>
      <c r="AH9">
        <v>86.986999999999995</v>
      </c>
      <c r="AI9">
        <v>100</v>
      </c>
      <c r="AJ9">
        <v>126</v>
      </c>
      <c r="AK9">
        <v>165</v>
      </c>
      <c r="AL9">
        <v>400</v>
      </c>
      <c r="AM9">
        <v>430</v>
      </c>
      <c r="AN9">
        <v>323</v>
      </c>
    </row>
    <row r="10" spans="1:40">
      <c r="A10" t="s">
        <v>11</v>
      </c>
      <c r="B10" t="s">
        <v>9</v>
      </c>
      <c r="C10">
        <v>0</v>
      </c>
      <c r="D10">
        <v>0</v>
      </c>
      <c r="E10">
        <v>0</v>
      </c>
      <c r="F10">
        <v>0</v>
      </c>
      <c r="G10">
        <v>0.223</v>
      </c>
      <c r="H10">
        <v>1.4079999999999999</v>
      </c>
      <c r="I10">
        <v>1.863</v>
      </c>
      <c r="J10">
        <v>0.14599999999999999</v>
      </c>
      <c r="K10">
        <v>3.516</v>
      </c>
      <c r="L10">
        <v>4.0789999999999997</v>
      </c>
      <c r="M10">
        <v>0</v>
      </c>
      <c r="N10">
        <v>2.2679999999999998</v>
      </c>
      <c r="O10">
        <v>0</v>
      </c>
      <c r="P10">
        <v>0</v>
      </c>
      <c r="Q10">
        <v>0</v>
      </c>
      <c r="R10">
        <v>0</v>
      </c>
      <c r="S10">
        <v>0</v>
      </c>
      <c r="T10">
        <v>1.5580000000000001</v>
      </c>
      <c r="U10">
        <v>1E-3</v>
      </c>
      <c r="V10">
        <v>1.2999999999999999E-2</v>
      </c>
      <c r="W10">
        <v>2</v>
      </c>
      <c r="X10">
        <v>0.48299999999999998</v>
      </c>
      <c r="Y10">
        <v>2</v>
      </c>
      <c r="Z10">
        <v>0</v>
      </c>
      <c r="AA10">
        <v>0</v>
      </c>
      <c r="AB10">
        <v>3</v>
      </c>
      <c r="AC10">
        <v>5.9240000000000004</v>
      </c>
      <c r="AD10">
        <v>5.9240000000000004</v>
      </c>
      <c r="AE10">
        <v>5.2240000000000002</v>
      </c>
      <c r="AF10">
        <v>3.427</v>
      </c>
      <c r="AG10">
        <v>4.4119999999999999</v>
      </c>
      <c r="AH10">
        <v>28.463999999999999</v>
      </c>
      <c r="AI10">
        <v>34</v>
      </c>
      <c r="AJ10">
        <v>20</v>
      </c>
      <c r="AK10">
        <v>15</v>
      </c>
      <c r="AL10">
        <v>19</v>
      </c>
      <c r="AM10">
        <v>16</v>
      </c>
      <c r="AN10">
        <v>15</v>
      </c>
    </row>
    <row r="11" spans="1:40">
      <c r="A11" t="s">
        <v>11</v>
      </c>
      <c r="B11" t="s">
        <v>10</v>
      </c>
      <c r="C11">
        <v>0</v>
      </c>
      <c r="D11">
        <v>0</v>
      </c>
      <c r="E11">
        <v>0</v>
      </c>
      <c r="F11">
        <v>0</v>
      </c>
      <c r="G11">
        <v>0.64800000000000002</v>
      </c>
      <c r="H11">
        <v>0.66100000000000003</v>
      </c>
      <c r="I11">
        <v>2.2109999999999999</v>
      </c>
      <c r="J11">
        <v>0.125</v>
      </c>
      <c r="K11">
        <v>3.532</v>
      </c>
      <c r="L11">
        <v>2.79</v>
      </c>
      <c r="M11">
        <v>0</v>
      </c>
      <c r="N11">
        <v>2.0009999999999999</v>
      </c>
      <c r="O11">
        <v>0</v>
      </c>
      <c r="P11">
        <v>0</v>
      </c>
      <c r="Q11">
        <v>0</v>
      </c>
      <c r="R11">
        <v>0</v>
      </c>
      <c r="S11">
        <v>0</v>
      </c>
      <c r="T11">
        <v>2.4049999999999998</v>
      </c>
      <c r="U11">
        <v>0</v>
      </c>
      <c r="V11">
        <v>0</v>
      </c>
      <c r="W11">
        <v>2.5</v>
      </c>
      <c r="X11">
        <v>0.59499999999999997</v>
      </c>
      <c r="Y11">
        <v>3.25</v>
      </c>
      <c r="Z11">
        <v>0</v>
      </c>
      <c r="AA11">
        <v>0</v>
      </c>
      <c r="AB11">
        <v>4.9000000000000004</v>
      </c>
      <c r="AC11">
        <v>10.962</v>
      </c>
      <c r="AD11">
        <v>14.577999999999999</v>
      </c>
      <c r="AE11">
        <v>4.8419999999999996</v>
      </c>
      <c r="AF11">
        <v>4.59</v>
      </c>
      <c r="AG11">
        <v>7.98</v>
      </c>
      <c r="AH11">
        <v>41.933999999999997</v>
      </c>
      <c r="AI11">
        <v>67.484999999999999</v>
      </c>
      <c r="AJ11">
        <v>35</v>
      </c>
      <c r="AK11">
        <v>23</v>
      </c>
      <c r="AL11">
        <v>37</v>
      </c>
      <c r="AM11">
        <v>28</v>
      </c>
      <c r="AN11">
        <v>25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2804B-6990-4414-BBE6-740A0385716E}">
  <dimension ref="A1:AN11"/>
  <sheetViews>
    <sheetView topLeftCell="AI1" workbookViewId="0">
      <selection activeCell="AN1" sqref="AN1"/>
    </sheetView>
  </sheetViews>
  <sheetFormatPr defaultRowHeight="14.4"/>
  <cols>
    <col min="2" max="2" width="10.21875" customWidth="1"/>
    <col min="3" max="35" width="9.88671875" customWidth="1"/>
    <col min="36" max="39" width="11.109375" customWidth="1"/>
    <col min="40" max="40" width="11" customWidth="1"/>
  </cols>
  <sheetData>
    <row r="1" spans="1:40">
      <c r="A1" s="9" t="s">
        <v>0</v>
      </c>
      <c r="B1" s="9" t="s">
        <v>1</v>
      </c>
      <c r="C1" s="9" t="s">
        <v>23</v>
      </c>
      <c r="D1" s="9" t="s">
        <v>24</v>
      </c>
      <c r="E1" s="9" t="s">
        <v>25</v>
      </c>
      <c r="F1" s="9" t="s">
        <v>26</v>
      </c>
      <c r="G1" s="9" t="s">
        <v>27</v>
      </c>
      <c r="H1" s="9" t="s">
        <v>28</v>
      </c>
      <c r="I1" s="9" t="s">
        <v>29</v>
      </c>
      <c r="J1" s="9" t="s">
        <v>30</v>
      </c>
      <c r="K1" s="9" t="s">
        <v>31</v>
      </c>
      <c r="L1" s="9" t="s">
        <v>32</v>
      </c>
      <c r="M1" s="9" t="s">
        <v>33</v>
      </c>
      <c r="N1" s="9" t="s">
        <v>34</v>
      </c>
      <c r="O1" s="9" t="s">
        <v>35</v>
      </c>
      <c r="P1" s="9" t="s">
        <v>36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2</v>
      </c>
      <c r="V1" s="9" t="s">
        <v>3</v>
      </c>
      <c r="W1" s="9" t="s">
        <v>4</v>
      </c>
      <c r="X1" s="9" t="s">
        <v>5</v>
      </c>
      <c r="Y1" s="9" t="s">
        <v>37</v>
      </c>
      <c r="Z1" s="9" t="s">
        <v>38</v>
      </c>
      <c r="AA1" s="9" t="s">
        <v>6</v>
      </c>
      <c r="AB1" s="9" t="s">
        <v>7</v>
      </c>
      <c r="AC1" s="9" t="s">
        <v>39</v>
      </c>
      <c r="AD1" s="9" t="s">
        <v>40</v>
      </c>
      <c r="AE1" s="9" t="s">
        <v>21</v>
      </c>
      <c r="AF1" s="9" t="s">
        <v>22</v>
      </c>
      <c r="AG1" s="9" t="s">
        <v>20</v>
      </c>
      <c r="AH1" s="9" t="s">
        <v>41</v>
      </c>
      <c r="AI1" s="9" t="s">
        <v>43</v>
      </c>
      <c r="AJ1" s="9" t="s">
        <v>44</v>
      </c>
      <c r="AK1" s="9" t="s">
        <v>45</v>
      </c>
      <c r="AL1" s="9" t="s">
        <v>47</v>
      </c>
      <c r="AM1" s="9" t="s">
        <v>51</v>
      </c>
      <c r="AN1" s="9" t="s">
        <v>50</v>
      </c>
    </row>
    <row r="2" spans="1:40">
      <c r="A2" t="s">
        <v>12</v>
      </c>
      <c r="B2" t="s">
        <v>9</v>
      </c>
      <c r="C2">
        <v>0.03</v>
      </c>
      <c r="D2">
        <v>0.06</v>
      </c>
      <c r="E2">
        <v>9.2999999999999999E-2</v>
      </c>
      <c r="F2">
        <v>0.45</v>
      </c>
      <c r="G2">
        <v>0.55400000000000005</v>
      </c>
      <c r="H2">
        <v>4.9000000000000004</v>
      </c>
      <c r="I2">
        <v>6</v>
      </c>
      <c r="J2">
        <v>12.023</v>
      </c>
      <c r="K2">
        <v>38.656999999999996</v>
      </c>
      <c r="L2">
        <v>59.084000000000003</v>
      </c>
      <c r="M2">
        <v>74.613</v>
      </c>
      <c r="N2">
        <v>101.392</v>
      </c>
      <c r="O2">
        <v>113.045</v>
      </c>
      <c r="P2">
        <v>90</v>
      </c>
      <c r="Q2">
        <v>83.063000000000002</v>
      </c>
      <c r="R2">
        <v>127.261</v>
      </c>
      <c r="S2">
        <v>115.261</v>
      </c>
      <c r="T2">
        <v>122.026</v>
      </c>
      <c r="U2">
        <v>69</v>
      </c>
      <c r="V2">
        <v>71.253</v>
      </c>
      <c r="W2">
        <v>52</v>
      </c>
      <c r="X2">
        <v>110.309</v>
      </c>
      <c r="Y2">
        <v>77</v>
      </c>
      <c r="Z2">
        <v>77</v>
      </c>
      <c r="AA2">
        <v>79</v>
      </c>
      <c r="AB2">
        <v>86.2</v>
      </c>
      <c r="AC2">
        <v>107.16200000000001</v>
      </c>
      <c r="AD2">
        <v>110</v>
      </c>
      <c r="AE2">
        <v>210.38800000000001</v>
      </c>
      <c r="AF2">
        <v>207.46299999999999</v>
      </c>
      <c r="AG2">
        <v>225.464</v>
      </c>
      <c r="AH2">
        <v>261.13299999999998</v>
      </c>
      <c r="AI2">
        <v>280</v>
      </c>
      <c r="AJ2">
        <v>345</v>
      </c>
      <c r="AK2">
        <v>450</v>
      </c>
      <c r="AL2">
        <v>520</v>
      </c>
      <c r="AM2">
        <v>530</v>
      </c>
      <c r="AN2">
        <v>533</v>
      </c>
    </row>
    <row r="3" spans="1:40">
      <c r="A3" t="s">
        <v>12</v>
      </c>
      <c r="B3" t="s">
        <v>10</v>
      </c>
      <c r="C3">
        <v>5.0000000000000001E-3</v>
      </c>
      <c r="D3">
        <v>7.0000000000000007E-2</v>
      </c>
      <c r="E3">
        <v>0.151</v>
      </c>
      <c r="F3">
        <v>0.47</v>
      </c>
      <c r="G3">
        <v>0.81699999999999995</v>
      </c>
      <c r="H3">
        <v>2</v>
      </c>
      <c r="I3">
        <v>15</v>
      </c>
      <c r="J3">
        <v>25.962</v>
      </c>
      <c r="K3">
        <v>27.861000000000001</v>
      </c>
      <c r="L3">
        <v>28.056999999999999</v>
      </c>
      <c r="M3">
        <v>115.361</v>
      </c>
      <c r="N3">
        <v>138.245</v>
      </c>
      <c r="O3">
        <v>153.47999999999999</v>
      </c>
      <c r="P3">
        <v>4</v>
      </c>
      <c r="Q3">
        <v>103.81100000000001</v>
      </c>
      <c r="R3">
        <v>52.301000000000002</v>
      </c>
      <c r="S3">
        <v>180.08699999999999</v>
      </c>
      <c r="T3">
        <v>5.4020000000000001</v>
      </c>
      <c r="U3">
        <v>62</v>
      </c>
      <c r="V3">
        <v>24.742999999999999</v>
      </c>
      <c r="W3">
        <v>50</v>
      </c>
      <c r="X3">
        <v>155.602</v>
      </c>
      <c r="Y3">
        <v>125</v>
      </c>
      <c r="Z3">
        <v>80</v>
      </c>
      <c r="AA3">
        <v>111.5</v>
      </c>
      <c r="AB3">
        <v>80</v>
      </c>
      <c r="AC3">
        <v>39.889000000000003</v>
      </c>
      <c r="AD3">
        <v>200</v>
      </c>
      <c r="AE3">
        <v>261.07600000000002</v>
      </c>
      <c r="AF3">
        <v>128.322</v>
      </c>
      <c r="AG3">
        <v>268.363</v>
      </c>
      <c r="AH3">
        <v>456.65199999999999</v>
      </c>
      <c r="AI3">
        <v>420</v>
      </c>
      <c r="AJ3">
        <v>750</v>
      </c>
      <c r="AK3">
        <v>856.09799999999996</v>
      </c>
      <c r="AL3">
        <v>650</v>
      </c>
      <c r="AM3">
        <v>925</v>
      </c>
      <c r="AN3">
        <v>911.43</v>
      </c>
    </row>
    <row r="4" spans="1:40">
      <c r="A4" t="s">
        <v>14</v>
      </c>
      <c r="B4" t="s">
        <v>9</v>
      </c>
      <c r="C4">
        <v>0</v>
      </c>
      <c r="D4">
        <v>1E-3</v>
      </c>
      <c r="E4">
        <v>0</v>
      </c>
      <c r="F4">
        <v>1E-3</v>
      </c>
      <c r="G4">
        <v>0</v>
      </c>
      <c r="H4">
        <v>0.3</v>
      </c>
      <c r="I4">
        <v>0.5</v>
      </c>
      <c r="J4">
        <v>0.32600000000000001</v>
      </c>
      <c r="K4">
        <v>0.46500000000000002</v>
      </c>
      <c r="L4">
        <v>0.39</v>
      </c>
      <c r="M4">
        <v>0</v>
      </c>
      <c r="N4">
        <v>0</v>
      </c>
      <c r="O4">
        <v>0</v>
      </c>
      <c r="P4">
        <v>3</v>
      </c>
      <c r="Q4">
        <v>0</v>
      </c>
      <c r="R4">
        <v>0</v>
      </c>
      <c r="S4">
        <v>7.3890000000000002</v>
      </c>
      <c r="T4">
        <v>1.347</v>
      </c>
      <c r="U4">
        <v>0.3</v>
      </c>
      <c r="V4">
        <v>0.26900000000000002</v>
      </c>
      <c r="W4">
        <v>0</v>
      </c>
      <c r="X4">
        <v>1.4630000000000001</v>
      </c>
      <c r="Y4">
        <v>0</v>
      </c>
      <c r="Z4">
        <v>1</v>
      </c>
      <c r="AA4">
        <v>1</v>
      </c>
      <c r="AB4">
        <v>0</v>
      </c>
      <c r="AC4">
        <v>1.012</v>
      </c>
      <c r="AD4">
        <v>0.44700000000000001</v>
      </c>
      <c r="AE4">
        <v>8</v>
      </c>
      <c r="AF4">
        <v>14.77</v>
      </c>
      <c r="AG4">
        <v>21.327000000000002</v>
      </c>
      <c r="AH4">
        <v>8.0329999999999995</v>
      </c>
      <c r="AI4">
        <v>12</v>
      </c>
      <c r="AJ4">
        <v>11</v>
      </c>
      <c r="AK4">
        <v>9.5</v>
      </c>
      <c r="AL4">
        <v>10.5</v>
      </c>
      <c r="AM4">
        <v>15</v>
      </c>
      <c r="AN4">
        <v>20</v>
      </c>
    </row>
    <row r="5" spans="1:40">
      <c r="A5" t="s">
        <v>14</v>
      </c>
      <c r="B5" t="s">
        <v>10</v>
      </c>
      <c r="C5">
        <v>0</v>
      </c>
      <c r="D5">
        <v>0</v>
      </c>
      <c r="E5">
        <v>0</v>
      </c>
      <c r="F5">
        <v>0</v>
      </c>
      <c r="G5">
        <v>0</v>
      </c>
      <c r="H5">
        <v>0.02</v>
      </c>
      <c r="I5">
        <v>0.4</v>
      </c>
      <c r="J5">
        <v>0.246</v>
      </c>
      <c r="K5">
        <v>0.31900000000000001</v>
      </c>
      <c r="L5">
        <v>0.27600000000000002</v>
      </c>
      <c r="M5">
        <v>0</v>
      </c>
      <c r="N5">
        <v>0</v>
      </c>
      <c r="O5">
        <v>0</v>
      </c>
      <c r="P5">
        <v>1.5</v>
      </c>
      <c r="Q5">
        <v>0</v>
      </c>
      <c r="R5">
        <v>0</v>
      </c>
      <c r="S5">
        <v>10.949</v>
      </c>
      <c r="T5">
        <v>1.319</v>
      </c>
      <c r="U5">
        <v>0.05</v>
      </c>
      <c r="V5">
        <v>0.30599999999999999</v>
      </c>
      <c r="W5">
        <v>0</v>
      </c>
      <c r="X5">
        <v>1.48</v>
      </c>
      <c r="Y5">
        <v>0</v>
      </c>
      <c r="Z5">
        <v>1.2</v>
      </c>
      <c r="AA5">
        <v>1.25</v>
      </c>
      <c r="AB5">
        <v>0</v>
      </c>
      <c r="AC5">
        <v>1.379</v>
      </c>
      <c r="AD5">
        <v>0</v>
      </c>
      <c r="AE5">
        <v>6</v>
      </c>
      <c r="AF5">
        <v>14.849</v>
      </c>
      <c r="AG5">
        <v>20.786000000000001</v>
      </c>
      <c r="AH5">
        <v>5.45</v>
      </c>
      <c r="AI5">
        <v>22</v>
      </c>
      <c r="AJ5">
        <v>21.5</v>
      </c>
      <c r="AK5">
        <v>12.5</v>
      </c>
      <c r="AL5">
        <v>16</v>
      </c>
      <c r="AM5">
        <v>21</v>
      </c>
      <c r="AN5">
        <v>32.11</v>
      </c>
    </row>
    <row r="6" spans="1:40">
      <c r="A6" t="s">
        <v>13</v>
      </c>
      <c r="B6" t="s">
        <v>9</v>
      </c>
      <c r="C6">
        <v>0.3</v>
      </c>
      <c r="D6">
        <v>0.09</v>
      </c>
      <c r="E6">
        <v>0.2</v>
      </c>
      <c r="F6">
        <v>2.5000000000000001E-2</v>
      </c>
      <c r="G6">
        <v>0.42599999999999999</v>
      </c>
      <c r="H6">
        <v>0</v>
      </c>
      <c r="I6">
        <v>0</v>
      </c>
      <c r="J6">
        <v>1.4139999999999999</v>
      </c>
      <c r="K6">
        <v>2.847</v>
      </c>
      <c r="L6">
        <v>6.5730000000000004</v>
      </c>
      <c r="M6">
        <v>0</v>
      </c>
      <c r="N6">
        <v>0</v>
      </c>
      <c r="O6">
        <v>0</v>
      </c>
      <c r="P6">
        <v>70</v>
      </c>
      <c r="Q6">
        <v>0</v>
      </c>
      <c r="R6">
        <v>0</v>
      </c>
      <c r="S6">
        <v>54.210999999999999</v>
      </c>
      <c r="T6">
        <v>83.856999999999999</v>
      </c>
      <c r="U6">
        <v>60</v>
      </c>
      <c r="V6">
        <v>45.390999999999998</v>
      </c>
      <c r="W6">
        <v>52</v>
      </c>
      <c r="X6">
        <v>106.13</v>
      </c>
      <c r="Y6">
        <v>95</v>
      </c>
      <c r="Z6">
        <v>86.7</v>
      </c>
      <c r="AA6">
        <v>89</v>
      </c>
      <c r="AB6">
        <v>102.2</v>
      </c>
      <c r="AC6">
        <v>115.22499999999999</v>
      </c>
      <c r="AD6">
        <v>160</v>
      </c>
      <c r="AE6">
        <v>197.93199999999999</v>
      </c>
      <c r="AF6">
        <v>169.38399999999999</v>
      </c>
      <c r="AG6">
        <v>160.76599999999999</v>
      </c>
      <c r="AH6">
        <v>219.45400000000001</v>
      </c>
      <c r="AI6">
        <v>270</v>
      </c>
      <c r="AJ6">
        <v>320</v>
      </c>
      <c r="AK6">
        <v>390</v>
      </c>
      <c r="AL6">
        <v>470</v>
      </c>
      <c r="AM6">
        <v>580</v>
      </c>
      <c r="AN6">
        <v>600</v>
      </c>
    </row>
    <row r="7" spans="1:40">
      <c r="A7" t="s">
        <v>13</v>
      </c>
      <c r="B7" t="s">
        <v>10</v>
      </c>
      <c r="C7">
        <v>0.27</v>
      </c>
      <c r="D7">
        <v>0.113</v>
      </c>
      <c r="E7">
        <v>0.32300000000000001</v>
      </c>
      <c r="F7">
        <v>0.05</v>
      </c>
      <c r="G7">
        <v>0.42799999999999999</v>
      </c>
      <c r="H7">
        <v>0</v>
      </c>
      <c r="I7">
        <v>0</v>
      </c>
      <c r="J7">
        <v>2.14</v>
      </c>
      <c r="K7">
        <v>3.2519999999999998</v>
      </c>
      <c r="L7">
        <v>10.233000000000001</v>
      </c>
      <c r="M7">
        <v>0</v>
      </c>
      <c r="N7">
        <v>0</v>
      </c>
      <c r="O7">
        <v>0</v>
      </c>
      <c r="P7">
        <v>61</v>
      </c>
      <c r="Q7">
        <v>0</v>
      </c>
      <c r="R7">
        <v>0</v>
      </c>
      <c r="S7">
        <v>102.068</v>
      </c>
      <c r="T7">
        <v>25.026</v>
      </c>
      <c r="U7">
        <v>69</v>
      </c>
      <c r="V7">
        <v>39.165999999999997</v>
      </c>
      <c r="W7">
        <v>93</v>
      </c>
      <c r="X7">
        <v>221.96600000000001</v>
      </c>
      <c r="Y7">
        <v>162</v>
      </c>
      <c r="Z7">
        <v>103</v>
      </c>
      <c r="AA7">
        <v>141</v>
      </c>
      <c r="AB7">
        <v>161.6</v>
      </c>
      <c r="AC7">
        <v>137.09899999999999</v>
      </c>
      <c r="AD7">
        <v>470</v>
      </c>
      <c r="AE7">
        <v>274.29500000000002</v>
      </c>
      <c r="AF7">
        <v>212.58699999999999</v>
      </c>
      <c r="AG7">
        <v>233.7</v>
      </c>
      <c r="AH7">
        <v>380.16</v>
      </c>
      <c r="AI7">
        <v>540</v>
      </c>
      <c r="AJ7">
        <v>900</v>
      </c>
      <c r="AK7">
        <v>760</v>
      </c>
      <c r="AL7">
        <v>554.6</v>
      </c>
      <c r="AM7">
        <v>1113.5999999999999</v>
      </c>
      <c r="AN7">
        <v>1183.346</v>
      </c>
    </row>
    <row r="8" spans="1:40">
      <c r="A8" t="s">
        <v>8</v>
      </c>
      <c r="B8" t="s">
        <v>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</row>
    <row r="9" spans="1:40">
      <c r="A9" t="s">
        <v>8</v>
      </c>
      <c r="B9" t="s">
        <v>10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</row>
    <row r="10" spans="1:40">
      <c r="A10" t="s">
        <v>11</v>
      </c>
      <c r="B10" t="s">
        <v>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</row>
    <row r="11" spans="1:40">
      <c r="A11" t="s">
        <v>11</v>
      </c>
      <c r="B11" t="s">
        <v>10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8AC29-30DC-4C02-9F27-0DF8FB26CA80}">
  <dimension ref="A1:AU39"/>
  <sheetViews>
    <sheetView topLeftCell="A22" workbookViewId="0">
      <selection activeCell="A40" sqref="A40:XFD42"/>
    </sheetView>
  </sheetViews>
  <sheetFormatPr defaultRowHeight="14.4"/>
  <cols>
    <col min="1" max="1" width="14.44140625" customWidth="1"/>
    <col min="2" max="2" width="11.6640625" bestFit="1" customWidth="1"/>
  </cols>
  <sheetData>
    <row r="1" spans="1:47">
      <c r="A1" t="s">
        <v>42</v>
      </c>
      <c r="B1" t="s">
        <v>19</v>
      </c>
      <c r="C1" t="s">
        <v>48</v>
      </c>
      <c r="D1" t="s">
        <v>9</v>
      </c>
      <c r="E1" t="s">
        <v>10</v>
      </c>
      <c r="F1" t="s">
        <v>49</v>
      </c>
    </row>
    <row r="2" spans="1:47">
      <c r="A2" t="s">
        <v>23</v>
      </c>
      <c r="B2">
        <v>0</v>
      </c>
      <c r="C2">
        <v>0.42499999999999999</v>
      </c>
      <c r="D2">
        <v>0.33</v>
      </c>
      <c r="E2">
        <v>0.27500000000000002</v>
      </c>
      <c r="F2">
        <v>0</v>
      </c>
    </row>
    <row r="3" spans="1:47">
      <c r="A3" t="s">
        <v>24</v>
      </c>
      <c r="B3">
        <v>0</v>
      </c>
      <c r="C3">
        <v>4.3999999999999997E-2</v>
      </c>
      <c r="D3">
        <v>0.154</v>
      </c>
      <c r="E3">
        <v>0.183</v>
      </c>
      <c r="F3">
        <v>0</v>
      </c>
      <c r="J3" s="3"/>
      <c r="K3" s="3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4"/>
      <c r="AS3" s="4"/>
      <c r="AT3" s="4"/>
      <c r="AU3" s="4"/>
    </row>
    <row r="4" spans="1:47">
      <c r="A4" t="s">
        <v>25</v>
      </c>
      <c r="B4">
        <v>530</v>
      </c>
      <c r="C4">
        <v>5.9160000000000004</v>
      </c>
      <c r="D4">
        <v>0.29299999999999998</v>
      </c>
      <c r="E4">
        <v>0.47399999999999998</v>
      </c>
      <c r="F4">
        <v>0.251</v>
      </c>
    </row>
    <row r="5" spans="1:47">
      <c r="A5" t="s">
        <v>26</v>
      </c>
      <c r="B5">
        <v>530.173</v>
      </c>
      <c r="C5">
        <v>0.436</v>
      </c>
      <c r="D5">
        <v>0.47899999999999998</v>
      </c>
      <c r="E5">
        <v>0.52</v>
      </c>
      <c r="F5">
        <v>0.27600000000000002</v>
      </c>
    </row>
    <row r="6" spans="1:47">
      <c r="A6" t="s">
        <v>27</v>
      </c>
      <c r="B6">
        <v>547.71100000000001</v>
      </c>
      <c r="C6">
        <v>0.42199999999999999</v>
      </c>
      <c r="D6">
        <v>0.98</v>
      </c>
      <c r="E6">
        <v>1.244</v>
      </c>
      <c r="F6">
        <v>0.68200000000000005</v>
      </c>
    </row>
    <row r="7" spans="1:47">
      <c r="A7" t="s">
        <v>28</v>
      </c>
      <c r="B7">
        <v>495.05</v>
      </c>
      <c r="C7">
        <v>0.47699999999999998</v>
      </c>
      <c r="D7">
        <v>5.2030000000000003</v>
      </c>
      <c r="E7">
        <v>2.02</v>
      </c>
      <c r="F7">
        <v>1</v>
      </c>
    </row>
    <row r="8" spans="1:47">
      <c r="A8" t="s">
        <v>29</v>
      </c>
      <c r="B8">
        <v>483.87099999999998</v>
      </c>
      <c r="C8">
        <v>0.20699999999999999</v>
      </c>
      <c r="D8">
        <v>6.5030000000000001</v>
      </c>
      <c r="E8">
        <v>15.5</v>
      </c>
      <c r="F8">
        <v>7.5</v>
      </c>
    </row>
    <row r="9" spans="1:47">
      <c r="A9" t="s">
        <v>30</v>
      </c>
      <c r="B9">
        <v>588</v>
      </c>
      <c r="C9">
        <v>0</v>
      </c>
      <c r="D9">
        <v>13.763</v>
      </c>
      <c r="E9">
        <v>28.347000000000001</v>
      </c>
      <c r="F9">
        <v>16.667999999999999</v>
      </c>
    </row>
    <row r="10" spans="1:47">
      <c r="A10" t="s">
        <v>31</v>
      </c>
      <c r="B10">
        <v>498.56900000000002</v>
      </c>
      <c r="C10">
        <v>0.108</v>
      </c>
      <c r="D10">
        <v>41.99</v>
      </c>
      <c r="E10">
        <v>31.457999999999998</v>
      </c>
      <c r="F10">
        <v>15.683999999999999</v>
      </c>
    </row>
    <row r="11" spans="1:47">
      <c r="A11" t="s">
        <v>32</v>
      </c>
      <c r="B11">
        <v>466.91899999999998</v>
      </c>
      <c r="C11">
        <v>0.75700000000000001</v>
      </c>
      <c r="D11">
        <v>66.17</v>
      </c>
      <c r="E11">
        <v>38.698999999999998</v>
      </c>
      <c r="F11">
        <v>18.068999999999999</v>
      </c>
    </row>
    <row r="12" spans="1:47">
      <c r="A12" t="s">
        <v>33</v>
      </c>
      <c r="B12">
        <v>467.21199999999999</v>
      </c>
      <c r="C12">
        <v>98.180999999999997</v>
      </c>
      <c r="D12">
        <v>74.613</v>
      </c>
      <c r="E12">
        <v>115.361</v>
      </c>
      <c r="F12">
        <v>53.898000000000003</v>
      </c>
    </row>
    <row r="13" spans="1:47">
      <c r="A13" t="s">
        <v>34</v>
      </c>
      <c r="B13">
        <v>455.05500000000001</v>
      </c>
      <c r="C13">
        <v>169.23</v>
      </c>
      <c r="D13">
        <v>101.392</v>
      </c>
      <c r="E13">
        <v>138.245</v>
      </c>
      <c r="F13">
        <v>62.908999999999999</v>
      </c>
    </row>
    <row r="14" spans="1:47">
      <c r="A14" t="s">
        <v>35</v>
      </c>
      <c r="B14">
        <v>446.30599999999998</v>
      </c>
      <c r="C14">
        <v>294.23099999999999</v>
      </c>
      <c r="D14">
        <v>113.045</v>
      </c>
      <c r="E14">
        <v>153.47999999999999</v>
      </c>
      <c r="F14">
        <v>68.498999999999995</v>
      </c>
    </row>
    <row r="15" spans="1:47">
      <c r="A15" t="s">
        <v>36</v>
      </c>
      <c r="B15">
        <v>447.76100000000002</v>
      </c>
      <c r="C15">
        <v>87.781999999999996</v>
      </c>
      <c r="D15">
        <v>165.00200000000001</v>
      </c>
      <c r="E15">
        <v>67</v>
      </c>
      <c r="F15">
        <v>30</v>
      </c>
    </row>
    <row r="16" spans="1:47">
      <c r="A16" t="s">
        <v>15</v>
      </c>
      <c r="B16">
        <v>365.053</v>
      </c>
      <c r="C16">
        <v>160.18700000000001</v>
      </c>
      <c r="D16">
        <v>83.063000000000002</v>
      </c>
      <c r="E16">
        <v>103.81100000000001</v>
      </c>
      <c r="F16">
        <v>37.896999999999998</v>
      </c>
    </row>
    <row r="17" spans="1:6">
      <c r="A17" t="s">
        <v>16</v>
      </c>
      <c r="B17">
        <v>494.60199999999998</v>
      </c>
      <c r="C17">
        <v>87.826999999999998</v>
      </c>
      <c r="D17">
        <v>127.261</v>
      </c>
      <c r="E17">
        <v>52.301000000000002</v>
      </c>
      <c r="F17">
        <v>25.867999999999999</v>
      </c>
    </row>
    <row r="18" spans="1:6">
      <c r="A18" t="s">
        <v>17</v>
      </c>
      <c r="B18">
        <v>432.875</v>
      </c>
      <c r="C18">
        <v>178.10300000000001</v>
      </c>
      <c r="D18">
        <v>178.17</v>
      </c>
      <c r="E18">
        <v>294.916</v>
      </c>
      <c r="F18">
        <v>127.66200000000001</v>
      </c>
    </row>
    <row r="19" spans="1:6">
      <c r="A19" t="s">
        <v>18</v>
      </c>
      <c r="B19">
        <v>520.46299999999997</v>
      </c>
      <c r="C19">
        <v>123.45</v>
      </c>
      <c r="D19">
        <v>207.47399999999999</v>
      </c>
      <c r="E19">
        <v>31.844999999999999</v>
      </c>
      <c r="F19">
        <v>16.574000000000002</v>
      </c>
    </row>
    <row r="20" spans="1:6">
      <c r="A20" t="s">
        <v>2</v>
      </c>
      <c r="B20">
        <v>429.27</v>
      </c>
      <c r="C20">
        <v>86.123000000000005</v>
      </c>
      <c r="D20">
        <v>129.5</v>
      </c>
      <c r="E20">
        <v>131.15</v>
      </c>
      <c r="F20">
        <v>56.298999999999999</v>
      </c>
    </row>
    <row r="21" spans="1:6">
      <c r="A21" t="s">
        <v>3</v>
      </c>
      <c r="B21">
        <v>1037.9649999999999</v>
      </c>
      <c r="C21">
        <v>61.35</v>
      </c>
      <c r="D21">
        <v>116.997</v>
      </c>
      <c r="E21">
        <v>64.233999999999995</v>
      </c>
      <c r="F21">
        <v>66.673000000000002</v>
      </c>
    </row>
    <row r="22" spans="1:6">
      <c r="A22" t="s">
        <v>4</v>
      </c>
      <c r="B22">
        <v>790.99800000000005</v>
      </c>
      <c r="C22">
        <v>130.458</v>
      </c>
      <c r="D22">
        <v>104.01</v>
      </c>
      <c r="E22">
        <v>143.00800000000001</v>
      </c>
      <c r="F22">
        <v>113.119</v>
      </c>
    </row>
    <row r="23" spans="1:6">
      <c r="A23" t="s">
        <v>5</v>
      </c>
      <c r="B23">
        <v>672.44399999999996</v>
      </c>
      <c r="C23">
        <v>148.49</v>
      </c>
      <c r="D23">
        <v>218.76400000000001</v>
      </c>
      <c r="E23">
        <v>379.66</v>
      </c>
      <c r="F23">
        <v>255.3</v>
      </c>
    </row>
    <row r="24" spans="1:6">
      <c r="A24" t="s">
        <v>37</v>
      </c>
      <c r="B24">
        <v>483.428</v>
      </c>
      <c r="C24">
        <v>357.98700000000002</v>
      </c>
      <c r="D24">
        <v>172.84</v>
      </c>
      <c r="E24">
        <v>288</v>
      </c>
      <c r="F24">
        <v>139.227</v>
      </c>
    </row>
    <row r="25" spans="1:6">
      <c r="A25" t="s">
        <v>38</v>
      </c>
      <c r="B25">
        <v>627.39700000000005</v>
      </c>
      <c r="C25">
        <v>349.45699999999999</v>
      </c>
      <c r="D25">
        <v>165.4</v>
      </c>
      <c r="E25">
        <v>184.7</v>
      </c>
      <c r="F25">
        <v>115.88</v>
      </c>
    </row>
    <row r="26" spans="1:6">
      <c r="A26" t="s">
        <v>6</v>
      </c>
      <c r="B26">
        <v>721.50599999999997</v>
      </c>
      <c r="C26">
        <v>347.62599999999998</v>
      </c>
      <c r="D26">
        <v>169.7</v>
      </c>
      <c r="E26">
        <v>254.45</v>
      </c>
      <c r="F26">
        <v>183.58699999999999</v>
      </c>
    </row>
    <row r="27" spans="1:6">
      <c r="A27" t="s">
        <v>7</v>
      </c>
      <c r="B27">
        <v>916.18299999999999</v>
      </c>
      <c r="C27">
        <v>233.643</v>
      </c>
      <c r="D27">
        <v>189</v>
      </c>
      <c r="E27">
        <v>242.1</v>
      </c>
      <c r="F27">
        <v>221.80799999999999</v>
      </c>
    </row>
    <row r="28" spans="1:6">
      <c r="A28" t="s">
        <v>39</v>
      </c>
      <c r="B28">
        <v>1169.4649999999999</v>
      </c>
      <c r="C28">
        <v>183.57300000000001</v>
      </c>
      <c r="D28">
        <v>224.94399999999999</v>
      </c>
      <c r="E28">
        <v>181.63800000000001</v>
      </c>
      <c r="F28">
        <v>212.41900000000001</v>
      </c>
    </row>
    <row r="29" spans="1:6">
      <c r="A29" t="s">
        <v>40</v>
      </c>
      <c r="B29">
        <v>881.72799999999995</v>
      </c>
      <c r="C29">
        <v>784.19500000000005</v>
      </c>
      <c r="D29">
        <v>275.64800000000002</v>
      </c>
      <c r="E29">
        <v>680.48199999999997</v>
      </c>
      <c r="F29">
        <v>600</v>
      </c>
    </row>
    <row r="30" spans="1:6">
      <c r="A30" t="s">
        <v>21</v>
      </c>
      <c r="B30">
        <v>501.279</v>
      </c>
      <c r="C30">
        <v>498.59300000000002</v>
      </c>
      <c r="D30">
        <v>418.495</v>
      </c>
      <c r="E30">
        <v>542.78399999999999</v>
      </c>
      <c r="F30">
        <v>272.08600000000001</v>
      </c>
    </row>
    <row r="31" spans="1:6">
      <c r="A31" t="s">
        <v>22</v>
      </c>
      <c r="B31">
        <v>623.09799999999996</v>
      </c>
      <c r="C31">
        <v>347.43799999999999</v>
      </c>
      <c r="D31">
        <v>400.149</v>
      </c>
      <c r="E31">
        <v>359.315</v>
      </c>
      <c r="F31">
        <v>223.88900000000001</v>
      </c>
    </row>
    <row r="32" spans="1:6">
      <c r="A32" t="s">
        <v>20</v>
      </c>
      <c r="B32">
        <v>586.80100000000004</v>
      </c>
      <c r="C32">
        <v>715.04399999999998</v>
      </c>
      <c r="D32">
        <v>412.38099999999997</v>
      </c>
      <c r="E32">
        <v>525.84799999999996</v>
      </c>
      <c r="F32">
        <v>308.56799999999998</v>
      </c>
    </row>
    <row r="33" spans="1:6">
      <c r="A33" t="s">
        <v>41</v>
      </c>
      <c r="B33">
        <v>707.61500000000001</v>
      </c>
      <c r="C33">
        <v>754</v>
      </c>
      <c r="D33">
        <v>500.87200000000001</v>
      </c>
      <c r="E33">
        <v>853.64200000000005</v>
      </c>
      <c r="F33">
        <v>604.04999999999995</v>
      </c>
    </row>
    <row r="34" spans="1:6">
      <c r="A34" t="s">
        <v>46</v>
      </c>
      <c r="B34">
        <v>1002.504</v>
      </c>
      <c r="C34">
        <v>915.06399999999996</v>
      </c>
      <c r="D34">
        <v>575.16</v>
      </c>
      <c r="E34">
        <v>999.47</v>
      </c>
      <c r="F34">
        <v>1001.972</v>
      </c>
    </row>
    <row r="35" spans="1:6">
      <c r="A35" t="s">
        <v>44</v>
      </c>
      <c r="B35">
        <v>879.13599999999997</v>
      </c>
      <c r="C35">
        <v>1527.6969999999999</v>
      </c>
      <c r="D35">
        <v>692.3</v>
      </c>
      <c r="E35">
        <v>1688.75</v>
      </c>
      <c r="F35">
        <v>1484.64</v>
      </c>
    </row>
    <row r="36" spans="1:6">
      <c r="A36" t="s">
        <v>45</v>
      </c>
      <c r="B36">
        <v>881.346</v>
      </c>
      <c r="C36">
        <v>1668.7270000000001</v>
      </c>
      <c r="D36">
        <v>865</v>
      </c>
      <c r="E36">
        <v>1642.998</v>
      </c>
      <c r="F36">
        <v>1448.049</v>
      </c>
    </row>
    <row r="37" spans="1:6">
      <c r="A37" t="s">
        <v>47</v>
      </c>
      <c r="B37">
        <v>886.86699999999996</v>
      </c>
      <c r="C37">
        <v>1154.826</v>
      </c>
      <c r="D37">
        <v>1036.8</v>
      </c>
      <c r="E37">
        <v>1265.05</v>
      </c>
      <c r="F37">
        <v>1121.931</v>
      </c>
    </row>
    <row r="38" spans="1:6">
      <c r="A38" t="s">
        <v>51</v>
      </c>
      <c r="B38">
        <v>739.649</v>
      </c>
      <c r="C38">
        <v>1547.723</v>
      </c>
      <c r="D38">
        <v>1136.5</v>
      </c>
      <c r="E38">
        <v>2026.4</v>
      </c>
      <c r="F38">
        <v>1498.8240000000001</v>
      </c>
    </row>
    <row r="39" spans="1:6">
      <c r="A39" t="s">
        <v>50</v>
      </c>
      <c r="B39">
        <v>748.89400000000001</v>
      </c>
      <c r="C39">
        <v>1513.644</v>
      </c>
      <c r="D39">
        <v>950</v>
      </c>
      <c r="E39">
        <v>1662.5</v>
      </c>
      <c r="F39">
        <v>1245.037</v>
      </c>
    </row>
  </sheetData>
  <conditionalFormatting sqref="B2:B39">
    <cfRule type="cellIs" dxfId="62" priority="25" operator="lessThanOrEqual">
      <formula>99.9999999999</formula>
    </cfRule>
    <cfRule type="cellIs" dxfId="61" priority="26" operator="greaterThanOrEqual">
      <formula>100</formula>
    </cfRule>
  </conditionalFormatting>
  <conditionalFormatting sqref="C2:C39">
    <cfRule type="cellIs" dxfId="60" priority="1" operator="lessThanOrEqual">
      <formula>99.9999999999</formula>
    </cfRule>
    <cfRule type="cellIs" dxfId="59" priority="2" operator="greaterThanOrEqual">
      <formula>100</formula>
    </cfRule>
  </conditionalFormatting>
  <conditionalFormatting sqref="D2:D39">
    <cfRule type="cellIs" dxfId="58" priority="17" stopIfTrue="1" operator="equal">
      <formula>0</formula>
    </cfRule>
    <cfRule type="cellIs" dxfId="57" priority="18" stopIfTrue="1" operator="lessThanOrEqual">
      <formula>-100</formula>
    </cfRule>
    <cfRule type="cellIs" dxfId="56" priority="19" stopIfTrue="1" operator="between">
      <formula>-99.999999999999</formula>
      <formula>99.999999999999</formula>
    </cfRule>
    <cfRule type="cellIs" dxfId="55" priority="20" stopIfTrue="1" operator="greaterThanOrEqual">
      <formula>100</formula>
    </cfRule>
  </conditionalFormatting>
  <conditionalFormatting sqref="E2:E39">
    <cfRule type="cellIs" dxfId="54" priority="45" stopIfTrue="1" operator="equal">
      <formula>0</formula>
    </cfRule>
    <cfRule type="cellIs" dxfId="53" priority="46" stopIfTrue="1" operator="lessThanOrEqual">
      <formula>-100</formula>
    </cfRule>
    <cfRule type="cellIs" dxfId="52" priority="47" stopIfTrue="1" operator="between">
      <formula>-99.999999999999</formula>
      <formula>99.999999999999</formula>
    </cfRule>
    <cfRule type="cellIs" dxfId="51" priority="48" stopIfTrue="1" operator="greaterThanOrEqual">
      <formula>100</formula>
    </cfRule>
  </conditionalFormatting>
  <conditionalFormatting sqref="F2:F39">
    <cfRule type="cellIs" dxfId="50" priority="21" stopIfTrue="1" operator="equal">
      <formula>0</formula>
    </cfRule>
    <cfRule type="cellIs" dxfId="49" priority="22" stopIfTrue="1" operator="lessThanOrEqual">
      <formula>-100</formula>
    </cfRule>
    <cfRule type="cellIs" dxfId="48" priority="23" stopIfTrue="1" operator="between">
      <formula>-99.999999999999</formula>
      <formula>99.999999999999</formula>
    </cfRule>
    <cfRule type="cellIs" dxfId="47" priority="24" stopIfTrue="1" operator="greaterThanOrEqual">
      <formula>100</formula>
    </cfRule>
  </conditionalFormatting>
  <conditionalFormatting sqref="J3:AU3">
    <cfRule type="cellIs" dxfId="46" priority="10" stopIfTrue="1" operator="equal">
      <formula>0</formula>
    </cfRule>
    <cfRule type="cellIs" dxfId="45" priority="11" stopIfTrue="1" operator="lessThanOrEqual">
      <formula>-100</formula>
    </cfRule>
    <cfRule type="cellIs" dxfId="44" priority="12" stopIfTrue="1" operator="between">
      <formula>-99.999999999999</formula>
      <formula>99.999999999999</formula>
    </cfRule>
    <cfRule type="cellIs" dxfId="43" priority="13" stopIfTrue="1" operator="greaterThanOrEqual">
      <formula>100</formula>
    </cfRule>
    <cfRule type="cellIs" dxfId="42" priority="14" stopIfTrue="1" operator="lessThanOrEqual">
      <formula>-100</formula>
    </cfRule>
    <cfRule type="cellIs" dxfId="41" priority="15" stopIfTrue="1" operator="between">
      <formula>-99.999999999999</formula>
      <formula>99.999999999999</formula>
    </cfRule>
    <cfRule type="cellIs" dxfId="40" priority="16" stopIfTrue="1" operator="greaterThanOrEqual">
      <formula>100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1B0BF-D15E-4BA5-969C-124619CD39F7}">
  <dimension ref="A1:AT39"/>
  <sheetViews>
    <sheetView topLeftCell="A33" workbookViewId="0">
      <selection activeCell="A40" sqref="A40:F48"/>
    </sheetView>
  </sheetViews>
  <sheetFormatPr defaultRowHeight="14.4"/>
  <cols>
    <col min="1" max="1" width="14.44140625" customWidth="1"/>
    <col min="2" max="2" width="11.6640625" bestFit="1" customWidth="1"/>
  </cols>
  <sheetData>
    <row r="1" spans="1:46">
      <c r="A1" t="s">
        <v>42</v>
      </c>
      <c r="B1" t="s">
        <v>19</v>
      </c>
      <c r="C1" t="s">
        <v>48</v>
      </c>
      <c r="D1" t="s">
        <v>9</v>
      </c>
      <c r="E1" t="s">
        <v>10</v>
      </c>
      <c r="F1" t="s">
        <v>49</v>
      </c>
    </row>
    <row r="2" spans="1:46">
      <c r="A2" t="s">
        <v>23</v>
      </c>
      <c r="B2">
        <v>446.65300000000002</v>
      </c>
      <c r="C2">
        <v>85.72</v>
      </c>
      <c r="D2">
        <v>93.078999999999994</v>
      </c>
      <c r="E2">
        <v>109.36799999999999</v>
      </c>
      <c r="F2">
        <v>48.85</v>
      </c>
    </row>
    <row r="3" spans="1:46">
      <c r="A3" t="s">
        <v>24</v>
      </c>
      <c r="B3">
        <v>229.56399999999999</v>
      </c>
      <c r="C3">
        <v>147.35900000000001</v>
      </c>
      <c r="D3">
        <v>178.12100000000001</v>
      </c>
      <c r="E3">
        <v>191.66800000000001</v>
      </c>
      <c r="F3">
        <v>44</v>
      </c>
      <c r="I3" s="6"/>
      <c r="J3" s="6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3"/>
      <c r="AP3" s="7"/>
      <c r="AQ3" s="7"/>
      <c r="AR3" s="8"/>
      <c r="AS3" s="8"/>
      <c r="AT3" s="8"/>
    </row>
    <row r="4" spans="1:46">
      <c r="A4" t="s">
        <v>25</v>
      </c>
      <c r="B4">
        <v>250.583</v>
      </c>
      <c r="C4">
        <v>86.367000000000004</v>
      </c>
      <c r="D4">
        <v>249.672</v>
      </c>
      <c r="E4">
        <v>221.85900000000001</v>
      </c>
      <c r="F4">
        <v>55.594000000000001</v>
      </c>
    </row>
    <row r="5" spans="1:46">
      <c r="A5" t="s">
        <v>26</v>
      </c>
      <c r="B5">
        <v>292.47300000000001</v>
      </c>
      <c r="C5">
        <v>228.458</v>
      </c>
      <c r="D5">
        <v>151.80199999999999</v>
      </c>
      <c r="E5">
        <v>176.93799999999999</v>
      </c>
      <c r="F5">
        <v>51.75</v>
      </c>
    </row>
    <row r="6" spans="1:46">
      <c r="A6" t="s">
        <v>27</v>
      </c>
      <c r="B6">
        <v>375.286</v>
      </c>
      <c r="C6">
        <v>222.14500000000001</v>
      </c>
      <c r="D6">
        <v>146.83699999999999</v>
      </c>
      <c r="E6">
        <v>193.108</v>
      </c>
      <c r="F6">
        <v>72.471000000000004</v>
      </c>
    </row>
    <row r="7" spans="1:46">
      <c r="A7" t="s">
        <v>28</v>
      </c>
      <c r="B7">
        <v>495.91</v>
      </c>
      <c r="C7">
        <v>36.463999999999999</v>
      </c>
      <c r="D7">
        <v>208.85400000000001</v>
      </c>
      <c r="E7">
        <v>68.893000000000001</v>
      </c>
      <c r="F7">
        <v>34.164999999999999</v>
      </c>
    </row>
    <row r="8" spans="1:46">
      <c r="A8" t="s">
        <v>29</v>
      </c>
      <c r="B8">
        <v>365.40199999999999</v>
      </c>
      <c r="C8">
        <v>112.67</v>
      </c>
      <c r="D8">
        <v>216.41499999999999</v>
      </c>
      <c r="E8">
        <v>286.90899999999999</v>
      </c>
      <c r="F8">
        <v>104.837</v>
      </c>
    </row>
    <row r="9" spans="1:46">
      <c r="A9" t="s">
        <v>30</v>
      </c>
      <c r="B9">
        <v>277.21800000000002</v>
      </c>
      <c r="C9">
        <v>341.85899999999998</v>
      </c>
      <c r="D9">
        <v>241.45</v>
      </c>
      <c r="E9">
        <v>287.721</v>
      </c>
      <c r="F9">
        <v>79.760999999999996</v>
      </c>
    </row>
    <row r="10" spans="1:46">
      <c r="A10" t="s">
        <v>31</v>
      </c>
      <c r="B10">
        <v>375.34699999999998</v>
      </c>
      <c r="C10">
        <v>255.875</v>
      </c>
      <c r="D10">
        <v>273.04300000000001</v>
      </c>
      <c r="E10">
        <v>198.62899999999999</v>
      </c>
      <c r="F10">
        <v>74.555000000000007</v>
      </c>
    </row>
    <row r="11" spans="1:46">
      <c r="A11" t="s">
        <v>32</v>
      </c>
      <c r="B11">
        <v>382.82499999999999</v>
      </c>
      <c r="C11">
        <v>109.633</v>
      </c>
      <c r="D11">
        <v>308.505</v>
      </c>
      <c r="E11">
        <v>187.58699999999999</v>
      </c>
      <c r="F11">
        <v>71.813000000000002</v>
      </c>
    </row>
    <row r="12" spans="1:46">
      <c r="A12" t="s">
        <v>33</v>
      </c>
      <c r="B12">
        <v>339.37</v>
      </c>
      <c r="C12">
        <v>217.69900000000001</v>
      </c>
      <c r="D12">
        <v>217.95500000000001</v>
      </c>
      <c r="E12">
        <v>230.00700000000001</v>
      </c>
      <c r="F12">
        <v>78.058000000000007</v>
      </c>
    </row>
    <row r="13" spans="1:46">
      <c r="A13" t="s">
        <v>34</v>
      </c>
      <c r="B13">
        <v>462.95100000000002</v>
      </c>
      <c r="C13">
        <v>217.85499999999999</v>
      </c>
      <c r="D13">
        <v>261.60300000000001</v>
      </c>
      <c r="E13">
        <v>162.49199999999999</v>
      </c>
      <c r="F13">
        <v>75.225999999999999</v>
      </c>
    </row>
    <row r="14" spans="1:46">
      <c r="A14" t="s">
        <v>35</v>
      </c>
      <c r="B14">
        <v>475.97699999999998</v>
      </c>
      <c r="C14">
        <v>278.27199999999999</v>
      </c>
      <c r="D14">
        <v>244.93600000000001</v>
      </c>
      <c r="E14">
        <v>273.43900000000002</v>
      </c>
      <c r="F14">
        <v>130.15100000000001</v>
      </c>
    </row>
    <row r="15" spans="1:46">
      <c r="A15" t="s">
        <v>36</v>
      </c>
      <c r="B15">
        <v>485.75900000000001</v>
      </c>
      <c r="C15">
        <v>88.537999999999997</v>
      </c>
      <c r="D15">
        <v>201.161</v>
      </c>
      <c r="E15">
        <v>128.738</v>
      </c>
      <c r="F15">
        <v>62.536000000000001</v>
      </c>
    </row>
    <row r="16" spans="1:46">
      <c r="A16" t="s">
        <v>15</v>
      </c>
      <c r="B16">
        <v>309.17200000000003</v>
      </c>
      <c r="C16">
        <v>163.75299999999999</v>
      </c>
      <c r="D16">
        <v>200.815</v>
      </c>
      <c r="E16">
        <v>198.85400000000001</v>
      </c>
      <c r="F16">
        <v>61.48</v>
      </c>
    </row>
    <row r="17" spans="1:6">
      <c r="A17" t="s">
        <v>16</v>
      </c>
      <c r="B17">
        <v>266.553</v>
      </c>
      <c r="C17">
        <v>151.19900000000001</v>
      </c>
      <c r="D17">
        <v>110.17400000000001</v>
      </c>
      <c r="E17">
        <v>135.215</v>
      </c>
      <c r="F17">
        <v>36.042000000000002</v>
      </c>
    </row>
    <row r="18" spans="1:6">
      <c r="A18" t="s">
        <v>17</v>
      </c>
      <c r="B18">
        <v>374.40199999999999</v>
      </c>
      <c r="C18">
        <v>211.36099999999999</v>
      </c>
      <c r="D18">
        <v>131.30099999999999</v>
      </c>
      <c r="E18">
        <v>149.68199999999999</v>
      </c>
      <c r="F18">
        <v>56.040999999999997</v>
      </c>
    </row>
    <row r="19" spans="1:6">
      <c r="A19" t="s">
        <v>18</v>
      </c>
      <c r="B19">
        <v>598.14499999999998</v>
      </c>
      <c r="C19">
        <v>244.08099999999999</v>
      </c>
      <c r="D19">
        <v>284.07400000000001</v>
      </c>
      <c r="E19">
        <v>229.202</v>
      </c>
      <c r="F19">
        <v>137.096</v>
      </c>
    </row>
    <row r="20" spans="1:6">
      <c r="A20" t="s">
        <v>2</v>
      </c>
      <c r="B20">
        <v>621.56399999999996</v>
      </c>
      <c r="C20">
        <v>218.345</v>
      </c>
      <c r="D20">
        <v>306</v>
      </c>
      <c r="E20">
        <v>312.95</v>
      </c>
      <c r="F20">
        <v>194.518</v>
      </c>
    </row>
    <row r="21" spans="1:6">
      <c r="A21" t="s">
        <v>3</v>
      </c>
      <c r="B21">
        <v>450.00700000000001</v>
      </c>
      <c r="C21">
        <v>466.49599999999998</v>
      </c>
      <c r="D21">
        <v>338.22199999999998</v>
      </c>
      <c r="E21">
        <v>442.54300000000001</v>
      </c>
      <c r="F21">
        <v>199.14699999999999</v>
      </c>
    </row>
    <row r="22" spans="1:6">
      <c r="A22" t="s">
        <v>4</v>
      </c>
      <c r="B22">
        <v>443.17599999999999</v>
      </c>
      <c r="C22">
        <v>458.81799999999998</v>
      </c>
      <c r="D22">
        <v>428.98200000000003</v>
      </c>
      <c r="E22">
        <v>487.04599999999999</v>
      </c>
      <c r="F22">
        <v>215.84700000000001</v>
      </c>
    </row>
    <row r="23" spans="1:6">
      <c r="A23" t="s">
        <v>5</v>
      </c>
      <c r="B23">
        <v>403.983</v>
      </c>
      <c r="C23">
        <v>409.13400000000001</v>
      </c>
      <c r="D23">
        <v>653.14200000000005</v>
      </c>
      <c r="E23">
        <v>513.38800000000003</v>
      </c>
      <c r="F23">
        <v>207.4</v>
      </c>
    </row>
    <row r="24" spans="1:6">
      <c r="A24" t="s">
        <v>37</v>
      </c>
      <c r="B24">
        <v>456.65699999999998</v>
      </c>
      <c r="C24">
        <v>652.846</v>
      </c>
      <c r="D24">
        <v>456.07</v>
      </c>
      <c r="E24">
        <v>673.37199999999996</v>
      </c>
      <c r="F24">
        <v>307.5</v>
      </c>
    </row>
    <row r="25" spans="1:6">
      <c r="A25" t="s">
        <v>38</v>
      </c>
      <c r="B25">
        <v>393.53300000000002</v>
      </c>
      <c r="C25">
        <v>852.08699999999999</v>
      </c>
      <c r="D25">
        <v>573.6</v>
      </c>
      <c r="E25">
        <v>813.3</v>
      </c>
      <c r="F25">
        <v>320.06</v>
      </c>
    </row>
    <row r="26" spans="1:6">
      <c r="A26" t="s">
        <v>6</v>
      </c>
      <c r="B26">
        <v>352.28100000000001</v>
      </c>
      <c r="C26">
        <v>561.93499999999995</v>
      </c>
      <c r="D26">
        <v>507.8</v>
      </c>
      <c r="E26">
        <v>629.4</v>
      </c>
      <c r="F26">
        <v>221.726</v>
      </c>
    </row>
    <row r="27" spans="1:6">
      <c r="A27" t="s">
        <v>7</v>
      </c>
      <c r="B27">
        <v>566.54499999999996</v>
      </c>
      <c r="C27">
        <v>673.84500000000003</v>
      </c>
      <c r="D27">
        <v>424.8</v>
      </c>
      <c r="E27">
        <v>555.4</v>
      </c>
      <c r="F27">
        <v>314.65899999999999</v>
      </c>
    </row>
    <row r="28" spans="1:6">
      <c r="A28" t="s">
        <v>39</v>
      </c>
      <c r="B28">
        <v>783.56100000000004</v>
      </c>
      <c r="C28">
        <v>1140.088</v>
      </c>
      <c r="D28">
        <v>677.44399999999996</v>
      </c>
      <c r="E28">
        <v>874.59299999999996</v>
      </c>
      <c r="F28">
        <v>685.298</v>
      </c>
    </row>
    <row r="29" spans="1:6">
      <c r="A29" t="s">
        <v>40</v>
      </c>
      <c r="B29">
        <v>832.61400000000003</v>
      </c>
      <c r="C29">
        <v>1969.9639999999999</v>
      </c>
      <c r="D29">
        <v>1069</v>
      </c>
      <c r="E29">
        <v>2004</v>
      </c>
      <c r="F29">
        <v>1668.559</v>
      </c>
    </row>
    <row r="30" spans="1:6">
      <c r="A30" t="s">
        <v>21</v>
      </c>
      <c r="B30">
        <v>651.35900000000004</v>
      </c>
      <c r="C30">
        <v>1135.367</v>
      </c>
      <c r="D30">
        <v>1075.136</v>
      </c>
      <c r="E30">
        <v>998.23099999999999</v>
      </c>
      <c r="F30">
        <v>650.20600000000002</v>
      </c>
    </row>
    <row r="31" spans="1:6">
      <c r="A31" t="s">
        <v>22</v>
      </c>
      <c r="B31">
        <v>1126.117</v>
      </c>
      <c r="C31">
        <v>335.33100000000002</v>
      </c>
      <c r="D31">
        <v>293.947</v>
      </c>
      <c r="E31">
        <v>205.13</v>
      </c>
      <c r="F31">
        <v>231</v>
      </c>
    </row>
    <row r="32" spans="1:6">
      <c r="A32" t="s">
        <v>20</v>
      </c>
      <c r="B32">
        <v>760.78099999999995</v>
      </c>
      <c r="C32">
        <v>370.23399999999998</v>
      </c>
      <c r="D32">
        <v>309.15100000000001</v>
      </c>
      <c r="E32">
        <v>235.16499999999999</v>
      </c>
      <c r="F32">
        <v>178.90899999999999</v>
      </c>
    </row>
    <row r="33" spans="1:6">
      <c r="A33" t="s">
        <v>41</v>
      </c>
      <c r="B33">
        <v>592.98299999999995</v>
      </c>
      <c r="C33">
        <v>764.721</v>
      </c>
      <c r="D33">
        <v>606.31600000000003</v>
      </c>
      <c r="E33">
        <v>876.46799999999996</v>
      </c>
      <c r="F33">
        <v>519.73099999999999</v>
      </c>
    </row>
    <row r="34" spans="1:6">
      <c r="A34" t="s">
        <v>46</v>
      </c>
      <c r="B34">
        <v>683.28300000000002</v>
      </c>
      <c r="C34">
        <v>605.40300000000002</v>
      </c>
      <c r="D34">
        <v>615.75</v>
      </c>
      <c r="E34">
        <v>1062.25</v>
      </c>
      <c r="F34">
        <v>725.81700000000001</v>
      </c>
    </row>
    <row r="35" spans="1:6">
      <c r="A35" t="s">
        <v>44</v>
      </c>
      <c r="B35">
        <v>626.05999999999995</v>
      </c>
      <c r="C35">
        <v>676.42</v>
      </c>
      <c r="D35">
        <v>397.5</v>
      </c>
      <c r="E35">
        <v>541</v>
      </c>
      <c r="F35">
        <v>338.69900000000001</v>
      </c>
    </row>
    <row r="36" spans="1:6">
      <c r="A36" t="s">
        <v>45</v>
      </c>
      <c r="B36">
        <v>843.952</v>
      </c>
      <c r="C36">
        <v>606.69200000000001</v>
      </c>
      <c r="D36">
        <v>409</v>
      </c>
      <c r="E36">
        <v>491.2</v>
      </c>
      <c r="F36">
        <v>414.54899999999998</v>
      </c>
    </row>
    <row r="37" spans="1:6">
      <c r="A37" t="s">
        <v>47</v>
      </c>
      <c r="B37">
        <v>905.279</v>
      </c>
      <c r="C37">
        <v>2050.3530000000001</v>
      </c>
      <c r="D37">
        <v>1038.5</v>
      </c>
      <c r="E37">
        <v>2267</v>
      </c>
      <c r="F37">
        <v>2052.2669999999998</v>
      </c>
    </row>
    <row r="38" spans="1:6">
      <c r="A38" t="s">
        <v>51</v>
      </c>
      <c r="B38">
        <v>627.9</v>
      </c>
      <c r="C38">
        <v>1727.4369999999999</v>
      </c>
      <c r="D38">
        <v>1118.5</v>
      </c>
      <c r="E38">
        <v>2184.5300000000002</v>
      </c>
      <c r="F38">
        <v>1371.6659999999999</v>
      </c>
    </row>
    <row r="39" spans="1:6">
      <c r="A39" t="s">
        <v>50</v>
      </c>
      <c r="B39">
        <v>654.58600000000001</v>
      </c>
      <c r="C39">
        <v>1564.7850000000001</v>
      </c>
      <c r="D39">
        <v>940</v>
      </c>
      <c r="E39">
        <v>1776.6</v>
      </c>
      <c r="F39">
        <v>1162.9369999999999</v>
      </c>
    </row>
  </sheetData>
  <phoneticPr fontId="31" type="noConversion"/>
  <conditionalFormatting sqref="B2:B39">
    <cfRule type="cellIs" dxfId="39" priority="42" operator="lessThanOrEqual">
      <formula>99.9999999999</formula>
    </cfRule>
    <cfRule type="cellIs" dxfId="38" priority="43" operator="greaterThanOrEqual">
      <formula>100</formula>
    </cfRule>
  </conditionalFormatting>
  <conditionalFormatting sqref="D2:D36 E2:E39">
    <cfRule type="cellIs" dxfId="37" priority="52" stopIfTrue="1" operator="equal">
      <formula>0</formula>
    </cfRule>
    <cfRule type="cellIs" dxfId="36" priority="53" stopIfTrue="1" operator="lessThanOrEqual">
      <formula>-100</formula>
    </cfRule>
    <cfRule type="cellIs" dxfId="35" priority="54" stopIfTrue="1" operator="between">
      <formula>-99.999999999999</formula>
      <formula>99.999999999999</formula>
    </cfRule>
    <cfRule type="cellIs" dxfId="34" priority="55" stopIfTrue="1" operator="greaterThanOrEqual">
      <formula>100</formula>
    </cfRule>
  </conditionalFormatting>
  <conditionalFormatting sqref="F2:F39">
    <cfRule type="cellIs" dxfId="33" priority="28" stopIfTrue="1" operator="equal">
      <formula>0</formula>
    </cfRule>
    <cfRule type="cellIs" dxfId="32" priority="29" stopIfTrue="1" operator="lessThanOrEqual">
      <formula>-100</formula>
    </cfRule>
    <cfRule type="cellIs" dxfId="31" priority="30" stopIfTrue="1" operator="between">
      <formula>-99.999999999999</formula>
      <formula>99.999999999999</formula>
    </cfRule>
    <cfRule type="cellIs" dxfId="30" priority="31" stopIfTrue="1" operator="greaterThanOrEqual">
      <formula>100</formula>
    </cfRule>
  </conditionalFormatting>
  <conditionalFormatting sqref="I3:J3">
    <cfRule type="cellIs" dxfId="29" priority="13" stopIfTrue="1" operator="equal">
      <formula>0</formula>
    </cfRule>
    <cfRule type="cellIs" dxfId="28" priority="14" stopIfTrue="1" operator="lessThanOrEqual">
      <formula>-100</formula>
    </cfRule>
    <cfRule type="cellIs" dxfId="27" priority="15" stopIfTrue="1" operator="between">
      <formula>-99.999999999999</formula>
      <formula>99.999999999999</formula>
    </cfRule>
    <cfRule type="cellIs" dxfId="26" priority="16" stopIfTrue="1" operator="greaterThanOrEqual">
      <formula>100</formula>
    </cfRule>
  </conditionalFormatting>
  <conditionalFormatting sqref="I3:AT3">
    <cfRule type="cellIs" dxfId="25" priority="9" stopIfTrue="1" operator="equal">
      <formula>0</formula>
    </cfRule>
    <cfRule type="cellIs" dxfId="24" priority="10" stopIfTrue="1" operator="lessThanOrEqual">
      <formula>-100</formula>
    </cfRule>
    <cfRule type="cellIs" dxfId="23" priority="11" stopIfTrue="1" operator="between">
      <formula>-99.999999999999</formula>
      <formula>99.999999999999</formula>
    </cfRule>
    <cfRule type="cellIs" dxfId="22" priority="12" stopIfTrue="1" operator="greaterThanOrEqual">
      <formula>100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E37E7-65EA-4514-990C-6E4E4F4AB7C1}">
  <dimension ref="A1:AU39"/>
  <sheetViews>
    <sheetView tabSelected="1" topLeftCell="A33" workbookViewId="0">
      <selection activeCell="A40" sqref="A40:F48"/>
    </sheetView>
  </sheetViews>
  <sheetFormatPr defaultRowHeight="14.4"/>
  <cols>
    <col min="1" max="1" width="14.44140625" customWidth="1"/>
    <col min="2" max="2" width="11.6640625" bestFit="1" customWidth="1"/>
  </cols>
  <sheetData>
    <row r="1" spans="1:47">
      <c r="A1" t="s">
        <v>42</v>
      </c>
      <c r="B1" t="s">
        <v>19</v>
      </c>
      <c r="C1" t="s">
        <v>48</v>
      </c>
      <c r="D1" t="s">
        <v>9</v>
      </c>
      <c r="E1" t="s">
        <v>10</v>
      </c>
      <c r="F1" t="s">
        <v>49</v>
      </c>
    </row>
    <row r="2" spans="1:47">
      <c r="A2" t="s">
        <v>23</v>
      </c>
      <c r="B2">
        <v>425</v>
      </c>
      <c r="D2">
        <v>44.555</v>
      </c>
      <c r="E2">
        <v>57.9</v>
      </c>
      <c r="F2">
        <f>Table2812[[#This Row],[Price]]*Table2812[[#This Row],[Production]]/1000</f>
        <v>24.607500000000002</v>
      </c>
      <c r="G2" s="6"/>
    </row>
    <row r="3" spans="1:47">
      <c r="A3" t="s">
        <v>24</v>
      </c>
      <c r="B3">
        <v>408</v>
      </c>
      <c r="D3">
        <v>43.9</v>
      </c>
      <c r="E3">
        <v>53.1</v>
      </c>
      <c r="F3">
        <f>Table2812[[#This Row],[Price]]*Table2812[[#This Row],[Production]]/1000</f>
        <v>21.6648</v>
      </c>
      <c r="G3" s="6"/>
      <c r="J3" s="6"/>
      <c r="K3" s="6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3"/>
      <c r="AQ3" s="7"/>
      <c r="AR3" s="7"/>
      <c r="AS3" s="8"/>
      <c r="AT3" s="8"/>
      <c r="AU3" s="8"/>
    </row>
    <row r="4" spans="1:47">
      <c r="A4" t="s">
        <v>25</v>
      </c>
      <c r="B4">
        <v>450.5</v>
      </c>
      <c r="D4">
        <v>58.107999999999997</v>
      </c>
      <c r="E4">
        <v>64.400000000000006</v>
      </c>
      <c r="F4">
        <f>Table2812[[#This Row],[Price]]*Table2812[[#This Row],[Production]]/1000</f>
        <v>29.012200000000004</v>
      </c>
      <c r="G4" s="7"/>
    </row>
    <row r="5" spans="1:47">
      <c r="A5" t="s">
        <v>26</v>
      </c>
      <c r="B5">
        <v>442</v>
      </c>
      <c r="D5">
        <v>82</v>
      </c>
      <c r="E5">
        <v>99</v>
      </c>
      <c r="F5">
        <f>Table2812[[#This Row],[Price]]*Table2812[[#This Row],[Production]]/1000</f>
        <v>43.758000000000003</v>
      </c>
      <c r="G5" s="7"/>
    </row>
    <row r="6" spans="1:47">
      <c r="A6" t="s">
        <v>27</v>
      </c>
      <c r="B6">
        <v>433.5</v>
      </c>
      <c r="D6">
        <v>93.736000000000004</v>
      </c>
      <c r="E6">
        <v>148.827</v>
      </c>
      <c r="F6">
        <f>Table2812[[#This Row],[Price]]*Table2812[[#This Row],[Production]]/1000</f>
        <v>64.516504499999996</v>
      </c>
      <c r="G6" s="7"/>
    </row>
    <row r="7" spans="1:47">
      <c r="A7" t="s">
        <v>28</v>
      </c>
      <c r="B7">
        <v>420.75</v>
      </c>
      <c r="D7">
        <v>100.60899999999999</v>
      </c>
      <c r="E7">
        <v>67.19</v>
      </c>
      <c r="F7">
        <f>Table2812[[#This Row],[Price]]*Table2812[[#This Row],[Production]]/1000</f>
        <v>28.270192499999997</v>
      </c>
      <c r="G7" s="7"/>
    </row>
    <row r="8" spans="1:47">
      <c r="A8" t="s">
        <v>29</v>
      </c>
      <c r="B8">
        <v>408</v>
      </c>
      <c r="D8">
        <v>80.369</v>
      </c>
      <c r="E8">
        <v>127.71</v>
      </c>
      <c r="F8">
        <f>Table2812[[#This Row],[Price]]*Table2812[[#This Row],[Production]]/1000</f>
        <v>52.10568</v>
      </c>
      <c r="G8" s="7"/>
    </row>
    <row r="9" spans="1:47">
      <c r="A9" t="s">
        <v>30</v>
      </c>
      <c r="B9">
        <v>391</v>
      </c>
      <c r="D9">
        <v>96.936999999999998</v>
      </c>
      <c r="E9">
        <v>170.65199999999999</v>
      </c>
      <c r="F9">
        <f>Table2812[[#This Row],[Price]]*Table2812[[#This Row],[Production]]/1000</f>
        <v>66.724931999999995</v>
      </c>
      <c r="G9" s="7"/>
    </row>
    <row r="10" spans="1:47">
      <c r="A10" t="s">
        <v>31</v>
      </c>
      <c r="B10">
        <v>382.5</v>
      </c>
      <c r="D10">
        <v>154.78399999999999</v>
      </c>
      <c r="E10">
        <v>162.70599999999999</v>
      </c>
      <c r="F10">
        <f>Table2812[[#This Row],[Price]]*Table2812[[#This Row],[Production]]/1000</f>
        <v>62.235045</v>
      </c>
      <c r="G10" s="7"/>
    </row>
    <row r="11" spans="1:47">
      <c r="A11" t="s">
        <v>32</v>
      </c>
      <c r="B11">
        <v>399.5</v>
      </c>
      <c r="D11">
        <v>135.31399999999999</v>
      </c>
      <c r="E11">
        <v>194.346</v>
      </c>
      <c r="F11">
        <f>Table2812[[#This Row],[Price]]*Table2812[[#This Row],[Production]]/1000</f>
        <v>77.641227000000001</v>
      </c>
      <c r="G11" s="7"/>
    </row>
    <row r="12" spans="1:47">
      <c r="A12" t="s">
        <v>33</v>
      </c>
      <c r="B12">
        <v>396.95</v>
      </c>
      <c r="D12">
        <v>125.25</v>
      </c>
      <c r="E12">
        <v>165.75</v>
      </c>
      <c r="F12">
        <f>Table2812[[#This Row],[Price]]*Table2812[[#This Row],[Production]]/1000</f>
        <v>65.794462499999995</v>
      </c>
      <c r="G12" s="7"/>
    </row>
    <row r="13" spans="1:47">
      <c r="A13" t="s">
        <v>34</v>
      </c>
      <c r="B13">
        <v>357</v>
      </c>
      <c r="D13">
        <v>206.34299999999999</v>
      </c>
      <c r="E13">
        <v>324.87799999999999</v>
      </c>
      <c r="F13">
        <f>Table2812[[#This Row],[Price]]*Table2812[[#This Row],[Production]]/1000</f>
        <v>115.98144599999999</v>
      </c>
      <c r="G13" s="7"/>
    </row>
    <row r="14" spans="1:47">
      <c r="A14" t="s">
        <v>35</v>
      </c>
      <c r="B14">
        <v>340</v>
      </c>
      <c r="D14">
        <v>180</v>
      </c>
      <c r="E14">
        <v>350</v>
      </c>
      <c r="F14">
        <f>Table2812[[#This Row],[Price]]*Table2812[[#This Row],[Production]]/1000</f>
        <v>119</v>
      </c>
      <c r="G14" s="7"/>
    </row>
    <row r="15" spans="1:47">
      <c r="A15" t="s">
        <v>36</v>
      </c>
      <c r="B15">
        <v>323</v>
      </c>
      <c r="D15">
        <v>157</v>
      </c>
      <c r="E15">
        <v>108</v>
      </c>
      <c r="F15">
        <f>Table2812[[#This Row],[Price]]*Table2812[[#This Row],[Production]]/1000</f>
        <v>34.884</v>
      </c>
      <c r="G15" s="7"/>
    </row>
    <row r="16" spans="1:47">
      <c r="A16" t="s">
        <v>15</v>
      </c>
      <c r="B16">
        <v>310.25</v>
      </c>
      <c r="D16">
        <v>155</v>
      </c>
      <c r="E16">
        <v>277</v>
      </c>
      <c r="F16">
        <f>Table2812[[#This Row],[Price]]*Table2812[[#This Row],[Production]]/1000</f>
        <v>85.939250000000001</v>
      </c>
      <c r="G16" s="7"/>
    </row>
    <row r="17" spans="1:7">
      <c r="A17" t="s">
        <v>16</v>
      </c>
      <c r="B17">
        <v>331.5</v>
      </c>
      <c r="D17">
        <v>194.5</v>
      </c>
      <c r="E17">
        <v>167.5</v>
      </c>
      <c r="F17">
        <f>Table2812[[#This Row],[Price]]*Table2812[[#This Row],[Production]]/1000</f>
        <v>55.526249999999997</v>
      </c>
      <c r="G17" s="7"/>
    </row>
    <row r="18" spans="1:7">
      <c r="A18" t="s">
        <v>17</v>
      </c>
      <c r="B18">
        <v>348.5</v>
      </c>
      <c r="D18">
        <v>183</v>
      </c>
      <c r="E18">
        <v>329</v>
      </c>
      <c r="F18">
        <f>Table2812[[#This Row],[Price]]*Table2812[[#This Row],[Production]]/1000</f>
        <v>114.65649999999999</v>
      </c>
      <c r="G18" s="7"/>
    </row>
    <row r="19" spans="1:7">
      <c r="A19" t="s">
        <v>18</v>
      </c>
      <c r="B19">
        <v>357</v>
      </c>
      <c r="D19">
        <v>186.636</v>
      </c>
      <c r="E19">
        <v>107.023</v>
      </c>
      <c r="F19">
        <f>Table2812[[#This Row],[Price]]*Table2812[[#This Row],[Production]]/1000</f>
        <v>38.207210999999994</v>
      </c>
      <c r="G19" s="7"/>
    </row>
    <row r="20" spans="1:7">
      <c r="A20" t="s">
        <v>2</v>
      </c>
      <c r="B20">
        <v>365.5</v>
      </c>
      <c r="D20">
        <v>132.501</v>
      </c>
      <c r="E20">
        <v>138</v>
      </c>
      <c r="F20">
        <f>Table2812[[#This Row],[Price]]*Table2812[[#This Row],[Production]]/1000</f>
        <v>50.439</v>
      </c>
      <c r="G20" s="7"/>
    </row>
    <row r="21" spans="1:7">
      <c r="A21" t="s">
        <v>3</v>
      </c>
      <c r="B21">
        <v>882.3</v>
      </c>
      <c r="D21">
        <v>125.294</v>
      </c>
      <c r="E21">
        <v>134.749</v>
      </c>
      <c r="F21">
        <f>Table2812[[#This Row],[Price]]*Table2812[[#This Row],[Production]]/1000</f>
        <v>118.88904269999999</v>
      </c>
      <c r="G21" s="7"/>
    </row>
    <row r="22" spans="1:7">
      <c r="A22" t="s">
        <v>4</v>
      </c>
      <c r="B22">
        <v>595</v>
      </c>
      <c r="D22">
        <v>129</v>
      </c>
      <c r="E22">
        <v>217.3</v>
      </c>
      <c r="F22">
        <f>Table2812[[#This Row],[Price]]*Table2812[[#This Row],[Production]]/1000</f>
        <v>129.29349999999999</v>
      </c>
      <c r="G22" s="7"/>
    </row>
    <row r="23" spans="1:7">
      <c r="A23" t="s">
        <v>5</v>
      </c>
      <c r="B23">
        <v>571.20000000000005</v>
      </c>
      <c r="D23">
        <v>162.62799999999999</v>
      </c>
      <c r="E23">
        <v>324.36500000000001</v>
      </c>
      <c r="F23">
        <f>Table2812[[#This Row],[Price]]*Table2812[[#This Row],[Production]]/1000</f>
        <v>185.27728800000003</v>
      </c>
      <c r="G23" s="7"/>
    </row>
    <row r="24" spans="1:7">
      <c r="A24" t="s">
        <v>37</v>
      </c>
      <c r="B24">
        <v>552.5</v>
      </c>
      <c r="D24">
        <v>151.43700000000001</v>
      </c>
      <c r="E24">
        <v>268.10000000000002</v>
      </c>
      <c r="F24">
        <f>Table2812[[#This Row],[Price]]*Table2812[[#This Row],[Production]]/1000</f>
        <v>148.12524999999999</v>
      </c>
      <c r="G24" s="7"/>
    </row>
    <row r="25" spans="1:7">
      <c r="A25" t="s">
        <v>38</v>
      </c>
      <c r="B25">
        <v>612</v>
      </c>
      <c r="D25">
        <v>202.9</v>
      </c>
      <c r="E25">
        <v>377.2</v>
      </c>
      <c r="F25">
        <f>Table2812[[#This Row],[Price]]*Table2812[[#This Row],[Production]]/1000</f>
        <v>230.84639999999999</v>
      </c>
      <c r="G25" s="7"/>
    </row>
    <row r="26" spans="1:7">
      <c r="A26" t="s">
        <v>6</v>
      </c>
      <c r="B26">
        <v>612.85</v>
      </c>
      <c r="D26">
        <v>152.1</v>
      </c>
      <c r="E26">
        <v>327.7</v>
      </c>
      <c r="F26">
        <f>Table2812[[#This Row],[Price]]*Table2812[[#This Row],[Production]]/1000</f>
        <v>200.83094500000001</v>
      </c>
      <c r="G26" s="7"/>
    </row>
    <row r="27" spans="1:7">
      <c r="A27" t="s">
        <v>7</v>
      </c>
      <c r="B27">
        <v>778.6</v>
      </c>
      <c r="D27">
        <v>163.9</v>
      </c>
      <c r="E27">
        <v>283.8</v>
      </c>
      <c r="F27">
        <f>Table2812[[#This Row],[Price]]*Table2812[[#This Row],[Production]]/1000</f>
        <v>220.96668000000003</v>
      </c>
      <c r="G27" s="7"/>
    </row>
    <row r="28" spans="1:7">
      <c r="A28" t="s">
        <v>39</v>
      </c>
      <c r="B28">
        <v>993.65</v>
      </c>
      <c r="D28">
        <v>220.267</v>
      </c>
      <c r="E28">
        <v>300.57400000000001</v>
      </c>
      <c r="F28">
        <f>Table2812[[#This Row],[Price]]*Table2812[[#This Row],[Production]]/1000</f>
        <v>298.6653551</v>
      </c>
      <c r="G28" s="7"/>
    </row>
    <row r="29" spans="1:7">
      <c r="A29" t="s">
        <v>40</v>
      </c>
      <c r="B29">
        <v>749.7</v>
      </c>
      <c r="D29">
        <v>232.732</v>
      </c>
      <c r="E29">
        <v>483.57799999999997</v>
      </c>
      <c r="F29">
        <f>Table2812[[#This Row],[Price]]*Table2812[[#This Row],[Production]]/1000</f>
        <v>362.53842659999998</v>
      </c>
      <c r="G29" s="7"/>
    </row>
    <row r="30" spans="1:7">
      <c r="A30" t="s">
        <v>21</v>
      </c>
      <c r="B30">
        <v>425.85</v>
      </c>
      <c r="D30">
        <v>313.05099999999999</v>
      </c>
      <c r="E30">
        <v>415.59100000000001</v>
      </c>
      <c r="F30">
        <f>Table2812[[#This Row],[Price]]*Table2812[[#This Row],[Production]]/1000</f>
        <v>176.97942735000001</v>
      </c>
      <c r="G30" s="7"/>
    </row>
    <row r="31" spans="1:7">
      <c r="A31" t="s">
        <v>22</v>
      </c>
      <c r="B31">
        <v>529.54999999999995</v>
      </c>
      <c r="D31">
        <v>233.96700000000001</v>
      </c>
      <c r="E31">
        <v>233.417</v>
      </c>
      <c r="F31">
        <f>Table2812[[#This Row],[Price]]*Table2812[[#This Row],[Production]]/1000</f>
        <v>123.60597235</v>
      </c>
      <c r="G31" s="7"/>
    </row>
    <row r="32" spans="1:7">
      <c r="A32" t="s">
        <v>20</v>
      </c>
      <c r="B32">
        <v>498.95</v>
      </c>
      <c r="D32">
        <v>214.892</v>
      </c>
      <c r="E32">
        <v>313.02699999999999</v>
      </c>
      <c r="F32">
        <f>Table2812[[#This Row],[Price]]*Table2812[[#This Row],[Production]]/1000</f>
        <v>156.18482165</v>
      </c>
      <c r="G32" s="7"/>
    </row>
    <row r="33" spans="1:7">
      <c r="A33" t="s">
        <v>41</v>
      </c>
      <c r="B33">
        <v>601.79999999999995</v>
      </c>
      <c r="D33">
        <v>302.13200000000001</v>
      </c>
      <c r="E33">
        <v>679.77300000000002</v>
      </c>
      <c r="F33">
        <f>Table2812[[#This Row],[Price]]*Table2812[[#This Row],[Production]]/1000</f>
        <v>409.08739139999994</v>
      </c>
      <c r="G33" s="7"/>
    </row>
    <row r="34" spans="1:7">
      <c r="A34" t="s">
        <v>46</v>
      </c>
      <c r="B34">
        <v>851.7</v>
      </c>
      <c r="D34">
        <v>287.5</v>
      </c>
      <c r="E34">
        <v>646.23500000000001</v>
      </c>
      <c r="F34">
        <f>Table2812[[#This Row],[Price]]*Table2812[[#This Row],[Production]]/1000</f>
        <v>550.39834949999999</v>
      </c>
      <c r="G34" s="3"/>
    </row>
    <row r="35" spans="1:7">
      <c r="A35" t="s">
        <v>44</v>
      </c>
      <c r="B35">
        <v>747.15</v>
      </c>
      <c r="D35">
        <v>330</v>
      </c>
      <c r="E35">
        <v>730</v>
      </c>
      <c r="F35">
        <f>Table2812[[#This Row],[Price]]*Table2812[[#This Row],[Production]]/1000</f>
        <v>545.41949999999997</v>
      </c>
      <c r="G35" s="7"/>
    </row>
    <row r="36" spans="1:7">
      <c r="A36" t="s">
        <v>45</v>
      </c>
      <c r="B36">
        <v>748.85</v>
      </c>
      <c r="D36">
        <v>343.06700000000001</v>
      </c>
      <c r="E36">
        <v>640.37900000000002</v>
      </c>
      <c r="F36">
        <f>Table2812[[#This Row],[Price]]*Table2812[[#This Row],[Production]]/1000</f>
        <v>479.54781415000002</v>
      </c>
      <c r="G36" s="7"/>
    </row>
    <row r="37" spans="1:7">
      <c r="A37" t="s">
        <v>47</v>
      </c>
      <c r="B37">
        <v>753.95</v>
      </c>
      <c r="D37">
        <v>401</v>
      </c>
      <c r="E37">
        <v>749.5</v>
      </c>
      <c r="F37">
        <f>Table2812[[#This Row],[Price]]*Table2812[[#This Row],[Production]]/1000</f>
        <v>565.08552500000008</v>
      </c>
      <c r="G37" s="8"/>
    </row>
    <row r="38" spans="1:7">
      <c r="A38" t="s">
        <v>51</v>
      </c>
      <c r="B38">
        <v>629</v>
      </c>
      <c r="D38">
        <v>441</v>
      </c>
      <c r="E38">
        <v>1020</v>
      </c>
      <c r="F38">
        <f>Table2812[[#This Row],[Price]]*Table2812[[#This Row],[Production]]/1000</f>
        <v>641.58000000000004</v>
      </c>
      <c r="G38" s="8"/>
    </row>
    <row r="39" spans="1:7">
      <c r="A39" t="s">
        <v>50</v>
      </c>
      <c r="B39">
        <v>636.65</v>
      </c>
      <c r="D39">
        <v>443</v>
      </c>
      <c r="E39">
        <v>874.70399999999995</v>
      </c>
      <c r="F39">
        <f>Table2812[[#This Row],[Price]]*Table2812[[#This Row],[Production]]/1000</f>
        <v>556.88030160000005</v>
      </c>
      <c r="G39" s="8"/>
    </row>
  </sheetData>
  <conditionalFormatting sqref="B2:B39">
    <cfRule type="cellIs" dxfId="21" priority="25" operator="lessThanOrEqual">
      <formula>99.9999999999</formula>
    </cfRule>
    <cfRule type="cellIs" dxfId="20" priority="26" operator="greaterThanOrEqual">
      <formula>100</formula>
    </cfRule>
  </conditionalFormatting>
  <conditionalFormatting sqref="F2:F39">
    <cfRule type="cellIs" dxfId="19" priority="21" stopIfTrue="1" operator="equal">
      <formula>0</formula>
    </cfRule>
    <cfRule type="cellIs" dxfId="18" priority="22" stopIfTrue="1" operator="lessThanOrEqual">
      <formula>-100</formula>
    </cfRule>
    <cfRule type="cellIs" dxfId="17" priority="23" stopIfTrue="1" operator="between">
      <formula>-99.999999999999</formula>
      <formula>99.999999999999</formula>
    </cfRule>
    <cfRule type="cellIs" dxfId="16" priority="24" stopIfTrue="1" operator="greaterThanOrEqual">
      <formula>100</formula>
    </cfRule>
  </conditionalFormatting>
  <conditionalFormatting sqref="G2:G3">
    <cfRule type="cellIs" dxfId="15" priority="9" stopIfTrue="1" operator="equal">
      <formula>0</formula>
    </cfRule>
    <cfRule type="cellIs" dxfId="14" priority="10" stopIfTrue="1" operator="lessThanOrEqual">
      <formula>-100</formula>
    </cfRule>
    <cfRule type="cellIs" dxfId="13" priority="11" stopIfTrue="1" operator="between">
      <formula>-99.999999999999</formula>
      <formula>99.999999999999</formula>
    </cfRule>
    <cfRule type="cellIs" dxfId="12" priority="12" stopIfTrue="1" operator="greaterThanOrEqual">
      <formula>100</formula>
    </cfRule>
  </conditionalFormatting>
  <conditionalFormatting sqref="G2:G39">
    <cfRule type="cellIs" dxfId="11" priority="5" stopIfTrue="1" operator="equal">
      <formula>0</formula>
    </cfRule>
    <cfRule type="cellIs" dxfId="10" priority="6" stopIfTrue="1" operator="lessThanOrEqual">
      <formula>-100</formula>
    </cfRule>
    <cfRule type="cellIs" dxfId="9" priority="7" stopIfTrue="1" operator="between">
      <formula>-99.999999999999</formula>
      <formula>99.999999999999</formula>
    </cfRule>
    <cfRule type="cellIs" dxfId="8" priority="8" stopIfTrue="1" operator="greaterThanOrEqual">
      <formula>100</formula>
    </cfRule>
  </conditionalFormatting>
  <conditionalFormatting sqref="J3:K3">
    <cfRule type="cellIs" dxfId="7" priority="17" stopIfTrue="1" operator="equal">
      <formula>0</formula>
    </cfRule>
    <cfRule type="cellIs" dxfId="6" priority="18" stopIfTrue="1" operator="lessThanOrEqual">
      <formula>-100</formula>
    </cfRule>
    <cfRule type="cellIs" dxfId="5" priority="19" stopIfTrue="1" operator="between">
      <formula>-99.999999999999</formula>
      <formula>99.999999999999</formula>
    </cfRule>
    <cfRule type="cellIs" dxfId="4" priority="20" stopIfTrue="1" operator="greaterThanOrEqual">
      <formula>100</formula>
    </cfRule>
  </conditionalFormatting>
  <conditionalFormatting sqref="J3:AU3">
    <cfRule type="cellIs" dxfId="3" priority="13" stopIfTrue="1" operator="equal">
      <formula>0</formula>
    </cfRule>
    <cfRule type="cellIs" dxfId="2" priority="14" stopIfTrue="1" operator="lessThanOrEqual">
      <formula>-100</formula>
    </cfRule>
    <cfRule type="cellIs" dxfId="1" priority="15" stopIfTrue="1" operator="between">
      <formula>-99.999999999999</formula>
      <formula>99.999999999999</formula>
    </cfRule>
    <cfRule type="cellIs" dxfId="0" priority="16" stopIfTrue="1" operator="greaterThanOrEqual">
      <formula>100</formula>
    </cfRule>
  </conditionalFormatting>
  <pageMargins left="0.7" right="0.7" top="0.75" bottom="0.75" header="0.3" footer="0.3"/>
  <legacy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1f3c66e0-7684-4412-85ae-938bcfc42664" xsi:nil="true"/>
    <_ip_UnifiedCompliancePolicyUIAction xmlns="http://schemas.microsoft.com/sharepoint/v3" xsi:nil="true"/>
    <lcf76f155ced4ddcb4097134ff3c332f xmlns="1f3c66e0-7684-4412-85ae-938bcfc42664">
      <Terms xmlns="http://schemas.microsoft.com/office/infopath/2007/PartnerControls"/>
    </lcf76f155ced4ddcb4097134ff3c332f>
    <_ip_UnifiedCompliancePolicyProperties xmlns="http://schemas.microsoft.com/sharepoint/v3" xsi:nil="true"/>
    <TaxCatchAll xmlns="9c30d4e8-d9db-43d6-83e2-c08e4749ca2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E840779CD5394DB6A0677C69D57CD3" ma:contentTypeVersion="18" ma:contentTypeDescription="Create a new document." ma:contentTypeScope="" ma:versionID="3a115b2da8a2eeee135fdd5733988381">
  <xsd:schema xmlns:xsd="http://www.w3.org/2001/XMLSchema" xmlns:xs="http://www.w3.org/2001/XMLSchema" xmlns:p="http://schemas.microsoft.com/office/2006/metadata/properties" xmlns:ns1="http://schemas.microsoft.com/sharepoint/v3" xmlns:ns2="1f3c66e0-7684-4412-85ae-938bcfc42664" xmlns:ns3="9c30d4e8-d9db-43d6-83e2-c08e4749ca29" targetNamespace="http://schemas.microsoft.com/office/2006/metadata/properties" ma:root="true" ma:fieldsID="46fe6ebd3e8bf6d9df49fa3e9a691e0f" ns1:_="" ns2:_="" ns3:_="">
    <xsd:import namespace="http://schemas.microsoft.com/sharepoint/v3"/>
    <xsd:import namespace="1f3c66e0-7684-4412-85ae-938bcfc42664"/>
    <xsd:import namespace="9c30d4e8-d9db-43d6-83e2-c08e4749ca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_Flow_SignoffStatus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3c66e0-7684-4412-85ae-938bcfc426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Flow_SignoffStatus" ma:index="17" nillable="true" ma:displayName="Sign-off status" ma:internalName="Sign_x002d_off_x0020_status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7fcee89-5a73-4a7b-ac3d-7e05f09405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0d4e8-d9db-43d6-83e2-c08e4749ca2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b0dcb5e-3cf8-47e5-b6b0-eb9332a9b3dc}" ma:internalName="TaxCatchAll" ma:showField="CatchAllData" ma:web="9c30d4e8-d9db-43d6-83e2-c08e4749ca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0AF7E67-B0A8-4403-B034-291A80FBDDB1}">
  <ds:schemaRefs>
    <ds:schemaRef ds:uri="http://schemas.microsoft.com/office/2006/documentManagement/types"/>
    <ds:schemaRef ds:uri="http://schemas.openxmlformats.org/package/2006/metadata/core-properties"/>
    <ds:schemaRef ds:uri="http://schemas.microsoft.com/sharepoint/v3"/>
    <ds:schemaRef ds:uri="9c30d4e8-d9db-43d6-83e2-c08e4749ca29"/>
    <ds:schemaRef ds:uri="http://purl.org/dc/elements/1.1/"/>
    <ds:schemaRef ds:uri="http://schemas.microsoft.com/office/2006/metadata/properties"/>
    <ds:schemaRef ds:uri="http://purl.org/dc/terms/"/>
    <ds:schemaRef ds:uri="http://purl.org/dc/dcmitype/"/>
    <ds:schemaRef ds:uri="1f3c66e0-7684-4412-85ae-938bcfc42664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C17C4D53-3825-44BD-9FD0-63343C204D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f3c66e0-7684-4412-85ae-938bcfc42664"/>
    <ds:schemaRef ds:uri="9c30d4e8-d9db-43d6-83e2-c08e4749ca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A51C66A-940B-4EBF-AB7C-C7E573134CC8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507654c-1543-47e1-81c5-300c2627be14}" enabled="1" method="Standard" siteId="{5a7cc8ab-a4dc-4f9b-bf60-66714049ad6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Chickpea_prod_recent</vt:lpstr>
      <vt:lpstr>Chickpeas</vt:lpstr>
      <vt:lpstr>Faba_prod_recent</vt:lpstr>
      <vt:lpstr>Lentil_prod_recent</vt:lpstr>
      <vt:lpstr>Lentil_prices_yr</vt:lpstr>
      <vt:lpstr>Chickpea_prices_yr</vt:lpstr>
      <vt:lpstr>Faba_prices_yr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Adido</dc:creator>
  <cp:lastModifiedBy>Ido Bar</cp:lastModifiedBy>
  <dcterms:created xsi:type="dcterms:W3CDTF">2019-11-25T12:47:35Z</dcterms:created>
  <dcterms:modified xsi:type="dcterms:W3CDTF">2026-06-06T13:43:02Z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0x010100B8E840779CD5394DB6A0677C69D57CD3</vt:lpwstr>
  </property>
  <property fmtid="{D5CDD505-2E9C-101B-9397-08002B2CF9AE}" pid="3" name="MSIP_Label_adaa4be3-f650-4692-881a-64ae220cbceb_Enabled">
    <vt:lpwstr>true</vt:lpwstr>
  </property>
  <property fmtid="{D5CDD505-2E9C-101B-9397-08002B2CF9AE}" pid="4" name="MSIP_Label_adaa4be3-f650-4692-881a-64ae220cbceb_SetDate">
    <vt:lpwstr>2022-12-08T23:41:30Z</vt:lpwstr>
  </property>
  <property fmtid="{D5CDD505-2E9C-101B-9397-08002B2CF9AE}" pid="5" name="MSIP_Label_adaa4be3-f650-4692-881a-64ae220cbceb_Method">
    <vt:lpwstr>Standard</vt:lpwstr>
  </property>
  <property fmtid="{D5CDD505-2E9C-101B-9397-08002B2CF9AE}" pid="6" name="MSIP_Label_adaa4be3-f650-4692-881a-64ae220cbceb_Name">
    <vt:lpwstr>OFFICIAL  Internal (External sharing)</vt:lpwstr>
  </property>
  <property fmtid="{D5CDD505-2E9C-101B-9397-08002B2CF9AE}" pid="7" name="MSIP_Label_adaa4be3-f650-4692-881a-64ae220cbceb_SiteId">
    <vt:lpwstr>5a7cc8ab-a4dc-4f9b-bf60-66714049ad62</vt:lpwstr>
  </property>
  <property fmtid="{D5CDD505-2E9C-101B-9397-08002B2CF9AE}" pid="8" name="MSIP_Label_adaa4be3-f650-4692-881a-64ae220cbceb_ActionId">
    <vt:lpwstr>1ae74492-c250-4823-a5cc-909eeb8f120d</vt:lpwstr>
  </property>
  <property fmtid="{D5CDD505-2E9C-101B-9397-08002B2CF9AE}" pid="9" name="MSIP_Label_adaa4be3-f650-4692-881a-64ae220cbceb_ContentBits">
    <vt:lpwstr>0</vt:lpwstr>
  </property>
</Properties>
</file>